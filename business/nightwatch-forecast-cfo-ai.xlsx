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Low-price monthly forecast" sheetId="1" r:id="rId1"/>
    <sheet name="Low-price monthly milestones" sheetId="2" r:id="rId2"/>
    <sheet name="Acquisition slowdown stress" sheetId="3" r:id="rId3"/>
    <sheet name="Model inputs" sheetId="4" r:id="rId4"/>
    <sheet name="Export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(#,##0.0)"/>
    <numFmt numFmtId="165" formatCode="&quot;$&quot;#,##0.00;(&quot;$&quot;#,##0.00)"/>
    <numFmt numFmtId="166" formatCode="0.00%"/>
    <numFmt numFmtId="167" formatCode="#,##0.###;(#,##0.###)"/>
    <numFmt numFmtId="168" formatCode="yyyy-mm-dd"/>
    <numFmt numFmtId="169" formatCode="&quot;$&quot;#,##0;(&quot;$&quot;#,##0)"/>
    <numFmt numFmtId="170" formatCode="0.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168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70" fontId="3" fillId="5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S8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Low-price monthly forecast</t>
        </is>
      </c>
    </row>
    <row r="2" ht="20" customHeight="1">
      <c r="A2" t="inlineStr" s="2">
        <is>
          <t xml:space="preserve">NightWatch — Forecast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</row>
    <row r="5">
      <c r="A5" t="inlineStr" s="6">
        <is>
          <t xml:space="preserve">NW Opening customers</t>
        </is>
      </c>
      <c r="B5" s="7">
        <f>SUM('Low-price monthly forecast'!B6,'Low-price monthly forecast'!B7,'Low-price monthly forecast'!B8,'Low-price monthly forecast'!B9)</f>
        <v>0</v>
      </c>
      <c r="C5" s="7">
        <f>SUM('Low-price monthly forecast'!C6,'Low-price monthly forecast'!C7,'Low-price monthly forecast'!C8,'Low-price monthly forecast'!C9)</f>
        <v>40</v>
      </c>
      <c r="D5" s="7">
        <f>SUM('Low-price monthly forecast'!D6,'Low-price monthly forecast'!D7,'Low-price monthly forecast'!D8,'Low-price monthly forecast'!D9)</f>
        <v>78.4</v>
      </c>
      <c r="E5" s="7">
        <f>SUM('Low-price monthly forecast'!E6,'Low-price monthly forecast'!E7,'Low-price monthly forecast'!E8,'Low-price monthly forecast'!E9)</f>
        <v>115.26400000000001</v>
      </c>
      <c r="F5" s="7">
        <f>SUM('Low-price monthly forecast'!F6,'Low-price monthly forecast'!F7,'Low-price monthly forecast'!F8,'Low-price monthly forecast'!F9)</f>
        <v>150.65344</v>
      </c>
      <c r="G5" s="7">
        <f>SUM('Low-price monthly forecast'!G6,'Low-price monthly forecast'!G7,'Low-price monthly forecast'!G8,'Low-price monthly forecast'!G9)</f>
        <v>184.6273024</v>
      </c>
      <c r="H5" s="7">
        <f>SUM('Low-price monthly forecast'!H6,'Low-price monthly forecast'!H7,'Low-price monthly forecast'!H8,'Low-price monthly forecast'!H9)</f>
        <v>217.242210304</v>
      </c>
      <c r="I5" s="7">
        <f>SUM('Low-price monthly forecast'!I6,'Low-price monthly forecast'!I7,'Low-price monthly forecast'!I8,'Low-price monthly forecast'!I9)</f>
        <v>248.55252189184</v>
      </c>
      <c r="J5" s="7">
        <f>SUM('Low-price monthly forecast'!J6,'Low-price monthly forecast'!J7,'Low-price monthly forecast'!J8,'Low-price monthly forecast'!J9)</f>
        <v>278.6104210161664</v>
      </c>
      <c r="K5" s="7">
        <f>SUM('Low-price monthly forecast'!K6,'Low-price monthly forecast'!K7,'Low-price monthly forecast'!K8,'Low-price monthly forecast'!K9)</f>
        <v>307.46600417551974</v>
      </c>
      <c r="L5" s="7">
        <f>SUM('Low-price monthly forecast'!L6,'Low-price monthly forecast'!L7,'Low-price monthly forecast'!L8,'Low-price monthly forecast'!L9)</f>
        <v>335.1673640084989</v>
      </c>
      <c r="M5" s="7">
        <f>SUM('Low-price monthly forecast'!M6,'Low-price monthly forecast'!M7,'Low-price monthly forecast'!M8,'Low-price monthly forecast'!M9)</f>
        <v>361.760669448159</v>
      </c>
      <c r="N5" s="7">
        <f>SUM('Low-price monthly forecast'!N6,'Low-price monthly forecast'!N7,'Low-price monthly forecast'!N8,'Low-price monthly forecast'!N9)</f>
        <v>387.2902426702326</v>
      </c>
      <c r="O5" s="7">
        <f>SUM('Low-price monthly forecast'!O6,'Low-price monthly forecast'!O7,'Low-price monthly forecast'!O8,'Low-price monthly forecast'!O9)</f>
        <v>411.7986329634233</v>
      </c>
      <c r="P5" s="7">
        <f>SUM('Low-price monthly forecast'!P6,'Low-price monthly forecast'!P7,'Low-price monthly forecast'!P8,'Low-price monthly forecast'!P9)</f>
        <v>435.32668764488636</v>
      </c>
      <c r="Q5" s="7">
        <f>SUM('Low-price monthly forecast'!Q6,'Low-price monthly forecast'!Q7,'Low-price monthly forecast'!Q8,'Low-price monthly forecast'!Q9)</f>
        <v>457.9136201390909</v>
      </c>
      <c r="R5" s="7">
        <f>SUM('Low-price monthly forecast'!R6,'Low-price monthly forecast'!R7,'Low-price monthly forecast'!R8,'Low-price monthly forecast'!R9)</f>
        <v>479.5970753335273</v>
      </c>
      <c r="S5" s="7">
        <f>SUM('Low-price monthly forecast'!S6,'Low-price monthly forecast'!S7,'Low-price monthly forecast'!S8,'Low-price monthly forecast'!S9)</f>
        <v>500.4131923201861</v>
      </c>
    </row>
    <row r="6" outlineLevel="1">
      <c r="A6" t="inlineStr" s="8">
        <is>
          <t xml:space="preserve">Business</t>
        </is>
      </c>
      <c r="B6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inputs'!B22,IF('Model inputs'!K78="","",'Model inputs'!K78))</f>
        <v>0</v>
      </c>
      <c r="C6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inputs'!B22,IF('Low-price monthly forecast'!B21="","",'Low-price monthly forecast'!B21))</f>
        <v>4</v>
      </c>
      <c r="D6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inputs'!B22,IF('Low-price monthly forecast'!C21="","",'Low-price monthly forecast'!C21))</f>
        <v>7.84</v>
      </c>
      <c r="E6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inputs'!B22,IF('Low-price monthly forecast'!D21="","",'Low-price monthly forecast'!D21))</f>
        <v>11.5264</v>
      </c>
      <c r="F6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inputs'!B22,IF('Low-price monthly forecast'!E21="","",'Low-price monthly forecast'!E21))</f>
        <v>15.065344000000001</v>
      </c>
      <c r="G6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inputs'!B22,IF('Low-price monthly forecast'!F21="","",'Low-price monthly forecast'!F21))</f>
        <v>18.462730240000003</v>
      </c>
      <c r="H6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inputs'!B22,IF('Low-price monthly forecast'!G21="","",'Low-price monthly forecast'!G21))</f>
        <v>21.724221030400003</v>
      </c>
      <c r="I6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inputs'!B22,IF('Low-price monthly forecast'!H21="","",'Low-price monthly forecast'!H21))</f>
        <v>24.855252189184004</v>
      </c>
      <c r="J6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inputs'!B22,IF('Low-price monthly forecast'!I21="","",'Low-price monthly forecast'!I21))</f>
        <v>27.861042101616643</v>
      </c>
      <c r="K6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inputs'!B22,IF('Low-price monthly forecast'!J21="","",'Low-price monthly forecast'!J21))</f>
        <v>30.746600417551978</v>
      </c>
      <c r="L6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inputs'!B22,IF('Low-price monthly forecast'!K21="","",'Low-price monthly forecast'!K21))</f>
        <v>33.516736400849894</v>
      </c>
      <c r="M6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inputs'!B22,IF('Low-price monthly forecast'!L21="","",'Low-price monthly forecast'!L21))</f>
        <v>36.1760669448159</v>
      </c>
      <c r="N6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inputs'!B22,IF('Low-price monthly forecast'!M21="","",'Low-price monthly forecast'!M21))</f>
        <v>38.72902426702326</v>
      </c>
      <c r="O6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inputs'!B22,IF('Low-price monthly forecast'!N21="","",'Low-price monthly forecast'!N21))</f>
        <v>41.17986329634233</v>
      </c>
      <c r="P6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inputs'!B22,IF('Low-price monthly forecast'!O21="","",'Low-price monthly forecast'!O21))</f>
        <v>43.53266876448864</v>
      </c>
      <c r="Q6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inputs'!B22,IF('Low-price monthly forecast'!P21="","",'Low-price monthly forecast'!P21))</f>
        <v>45.791362013909094</v>
      </c>
      <c r="R6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inputs'!B22,IF('Low-price monthly forecast'!Q21="","",'Low-price monthly forecast'!Q21))</f>
        <v>47.95970753335273</v>
      </c>
      <c r="S6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inputs'!B22,IF('Low-price monthly forecast'!R21="","",'Low-price monthly forecast'!R21))</f>
        <v>50.041319232018616</v>
      </c>
    </row>
    <row r="7" outlineLevel="1">
      <c r="A7" t="inlineStr" s="8">
        <is>
          <t xml:space="preserve">Community</t>
        </is>
      </c>
      <c r="B7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inputs'!B23,IF('Model inputs'!K79="","",'Model inputs'!K79))</f>
        <v>0</v>
      </c>
      <c r="C7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inputs'!B23,IF('Low-price monthly forecast'!B22="","",'Low-price monthly forecast'!B22))</f>
        <v>0</v>
      </c>
      <c r="D7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inputs'!B23,IF('Low-price monthly forecast'!C22="","",'Low-price monthly forecast'!C22))</f>
        <v>0</v>
      </c>
      <c r="E7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inputs'!B23,IF('Low-price monthly forecast'!D22="","",'Low-price monthly forecast'!D22))</f>
        <v>0</v>
      </c>
      <c r="F7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inputs'!B23,IF('Low-price monthly forecast'!E22="","",'Low-price monthly forecast'!E22))</f>
        <v>0</v>
      </c>
      <c r="G7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inputs'!B23,IF('Low-price monthly forecast'!F22="","",'Low-price monthly forecast'!F22))</f>
        <v>0</v>
      </c>
      <c r="H7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inputs'!B23,IF('Low-price monthly forecast'!G22="","",'Low-price monthly forecast'!G22))</f>
        <v>0</v>
      </c>
      <c r="I7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inputs'!B23,IF('Low-price monthly forecast'!H22="","",'Low-price monthly forecast'!H22))</f>
        <v>0</v>
      </c>
      <c r="J7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inputs'!B23,IF('Low-price monthly forecast'!I22="","",'Low-price monthly forecast'!I22))</f>
        <v>0</v>
      </c>
      <c r="K7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inputs'!B23,IF('Low-price monthly forecast'!J22="","",'Low-price monthly forecast'!J22))</f>
        <v>0</v>
      </c>
      <c r="L7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inputs'!B23,IF('Low-price monthly forecast'!K22="","",'Low-price monthly forecast'!K22))</f>
        <v>0</v>
      </c>
      <c r="M7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inputs'!B23,IF('Low-price monthly forecast'!L22="","",'Low-price monthly forecast'!L22))</f>
        <v>0</v>
      </c>
      <c r="N7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inputs'!B23,IF('Low-price monthly forecast'!M22="","",'Low-price monthly forecast'!M22))</f>
        <v>0</v>
      </c>
      <c r="O7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inputs'!B23,IF('Low-price monthly forecast'!N22="","",'Low-price monthly forecast'!N22))</f>
        <v>0</v>
      </c>
      <c r="P7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inputs'!B23,IF('Low-price monthly forecast'!O22="","",'Low-price monthly forecast'!O22))</f>
        <v>0</v>
      </c>
      <c r="Q7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inputs'!B23,IF('Low-price monthly forecast'!P22="","",'Low-price monthly forecast'!P22))</f>
        <v>0</v>
      </c>
      <c r="R7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inputs'!B23,IF('Low-price monthly forecast'!Q22="","",'Low-price monthly forecast'!Q22))</f>
        <v>0</v>
      </c>
      <c r="S7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inputs'!B23,IF('Low-price monthly forecast'!R22="","",'Low-price monthly forecast'!R22))</f>
        <v>0</v>
      </c>
    </row>
    <row r="8" outlineLevel="1">
      <c r="A8" t="inlineStr" s="8">
        <is>
          <t xml:space="preserve">Starter</t>
        </is>
      </c>
      <c r="B8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inputs'!B24,IF('Model inputs'!K80="","",'Model inputs'!K80))</f>
        <v>0</v>
      </c>
      <c r="C8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inputs'!B24,IF('Low-price monthly forecast'!B23="","",'Low-price monthly forecast'!B23))</f>
        <v>22</v>
      </c>
      <c r="D8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inputs'!B24,IF('Low-price monthly forecast'!C23="","",'Low-price monthly forecast'!C23))</f>
        <v>43.12</v>
      </c>
      <c r="E8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inputs'!B24,IF('Low-price monthly forecast'!D23="","",'Low-price monthly forecast'!D23))</f>
        <v>63.3952</v>
      </c>
      <c r="F8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inputs'!B24,IF('Low-price monthly forecast'!E23="","",'Low-price monthly forecast'!E23))</f>
        <v>82.859392</v>
      </c>
      <c r="G8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inputs'!B24,IF('Low-price monthly forecast'!F23="","",'Low-price monthly forecast'!F23))</f>
        <v>101.54501632</v>
      </c>
      <c r="H8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inputs'!B24,IF('Low-price monthly forecast'!G23="","",'Low-price monthly forecast'!G23))</f>
        <v>119.4832156672</v>
      </c>
      <c r="I8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inputs'!B24,IF('Low-price monthly forecast'!H23="","",'Low-price monthly forecast'!H23))</f>
        <v>136.703887040512</v>
      </c>
      <c r="J8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inputs'!B24,IF('Low-price monthly forecast'!I23="","",'Low-price monthly forecast'!I23))</f>
        <v>153.23573155889153</v>
      </c>
      <c r="K8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inputs'!B24,IF('Low-price monthly forecast'!J23="","",'Low-price monthly forecast'!J23))</f>
        <v>169.10630229653586</v>
      </c>
      <c r="L8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inputs'!B24,IF('Low-price monthly forecast'!K23="","",'Low-price monthly forecast'!K23))</f>
        <v>184.34205020467442</v>
      </c>
      <c r="M8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inputs'!B24,IF('Low-price monthly forecast'!L23="","",'Low-price monthly forecast'!L23))</f>
        <v>198.96836819648743</v>
      </c>
      <c r="N8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inputs'!B24,IF('Low-price monthly forecast'!M23="","",'Low-price monthly forecast'!M23))</f>
        <v>213.00963346862792</v>
      </c>
      <c r="O8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inputs'!B24,IF('Low-price monthly forecast'!N23="","",'Low-price monthly forecast'!N23))</f>
        <v>226.4892481298828</v>
      </c>
      <c r="P8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inputs'!B24,IF('Low-price monthly forecast'!O23="","",'Low-price monthly forecast'!O23))</f>
        <v>239.4296782046875</v>
      </c>
      <c r="Q8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inputs'!B24,IF('Low-price monthly forecast'!P23="","",'Low-price monthly forecast'!P23))</f>
        <v>251.8524910765</v>
      </c>
      <c r="R8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inputs'!B24,IF('Low-price monthly forecast'!Q23="","",'Low-price monthly forecast'!Q23))</f>
        <v>263.77839143344</v>
      </c>
      <c r="S8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inputs'!B24,IF('Low-price monthly forecast'!R23="","",'Low-price monthly forecast'!R23))</f>
        <v>275.22725577610237</v>
      </c>
    </row>
    <row r="9" outlineLevel="1">
      <c r="A9" t="inlineStr" s="8">
        <is>
          <t xml:space="preserve">Team</t>
        </is>
      </c>
      <c r="B9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inputs'!B25,IF('Model inputs'!K81="","",'Model inputs'!K81))</f>
        <v>0</v>
      </c>
      <c r="C9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inputs'!B25,IF('Low-price monthly forecast'!B24="","",'Low-price monthly forecast'!B24))</f>
        <v>14</v>
      </c>
      <c r="D9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inputs'!B25,IF('Low-price monthly forecast'!C24="","",'Low-price monthly forecast'!C24))</f>
        <v>27.44</v>
      </c>
      <c r="E9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inputs'!B25,IF('Low-price monthly forecast'!D24="","",'Low-price monthly forecast'!D24))</f>
        <v>40.3424</v>
      </c>
      <c r="F9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inputs'!B25,IF('Low-price monthly forecast'!E24="","",'Low-price monthly forecast'!E24))</f>
        <v>52.728704</v>
      </c>
      <c r="G9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inputs'!B25,IF('Low-price monthly forecast'!F24="","",'Low-price monthly forecast'!F24))</f>
        <v>64.61955583999999</v>
      </c>
      <c r="H9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inputs'!B25,IF('Low-price monthly forecast'!G24="","",'Low-price monthly forecast'!G24))</f>
        <v>76.0347736064</v>
      </c>
      <c r="I9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inputs'!B25,IF('Low-price monthly forecast'!H24="","",'Low-price monthly forecast'!H24))</f>
        <v>86.993382662144</v>
      </c>
      <c r="J9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inputs'!B25,IF('Low-price monthly forecast'!I24="","",'Low-price monthly forecast'!I24))</f>
        <v>97.51364735565824</v>
      </c>
      <c r="K9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inputs'!B25,IF('Low-price monthly forecast'!J24="","",'Low-price monthly forecast'!J24))</f>
        <v>107.61310146143191</v>
      </c>
      <c r="L9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inputs'!B25,IF('Low-price monthly forecast'!K24="","",'Low-price monthly forecast'!K24))</f>
        <v>117.30857740297463</v>
      </c>
      <c r="M9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inputs'!B25,IF('Low-price monthly forecast'!L24="","",'Low-price monthly forecast'!L24))</f>
        <v>126.61623430685565</v>
      </c>
      <c r="N9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inputs'!B25,IF('Low-price monthly forecast'!M24="","",'Low-price monthly forecast'!M24))</f>
        <v>135.5515849345814</v>
      </c>
      <c r="O9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inputs'!B25,IF('Low-price monthly forecast'!N24="","",'Low-price monthly forecast'!N24))</f>
        <v>144.12952153719814</v>
      </c>
      <c r="P9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inputs'!B25,IF('Low-price monthly forecast'!O24="","",'Low-price monthly forecast'!O24))</f>
        <v>152.36434067571022</v>
      </c>
      <c r="Q9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inputs'!B25,IF('Low-price monthly forecast'!P24="","",'Low-price monthly forecast'!P24))</f>
        <v>160.2697670486818</v>
      </c>
      <c r="R9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inputs'!B25,IF('Low-price monthly forecast'!Q24="","",'Low-price monthly forecast'!Q24))</f>
        <v>167.85897636673454</v>
      </c>
      <c r="S9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inputs'!B25,IF('Low-price monthly forecast'!R24="","",'Low-price monthly forecast'!R24))</f>
        <v>175.14461731206515</v>
      </c>
    </row>
    <row r="10">
      <c r="A10" t="inlineStr" s="6">
        <is>
          <t xml:space="preserve">NW New customers</t>
        </is>
      </c>
      <c r="B10" s="7">
        <f>SUM('Low-price monthly forecast'!B11,'Low-price monthly forecast'!B12,'Low-price monthly forecast'!B13,'Low-price monthly forecast'!B14)</f>
        <v>40</v>
      </c>
      <c r="C10" s="7">
        <f>SUM('Low-price monthly forecast'!C11,'Low-price monthly forecast'!C12,'Low-price monthly forecast'!C13,'Low-price monthly forecast'!C14)</f>
        <v>40</v>
      </c>
      <c r="D10" s="7">
        <f>SUM('Low-price monthly forecast'!D11,'Low-price monthly forecast'!D12,'Low-price monthly forecast'!D13,'Low-price monthly forecast'!D14)</f>
        <v>40</v>
      </c>
      <c r="E10" s="7">
        <f>SUM('Low-price monthly forecast'!E11,'Low-price monthly forecast'!E12,'Low-price monthly forecast'!E13,'Low-price monthly forecast'!E14)</f>
        <v>40</v>
      </c>
      <c r="F10" s="7">
        <f>SUM('Low-price monthly forecast'!F11,'Low-price monthly forecast'!F12,'Low-price monthly forecast'!F13,'Low-price monthly forecast'!F14)</f>
        <v>40</v>
      </c>
      <c r="G10" s="7">
        <f>SUM('Low-price monthly forecast'!G11,'Low-price monthly forecast'!G12,'Low-price monthly forecast'!G13,'Low-price monthly forecast'!G14)</f>
        <v>40</v>
      </c>
      <c r="H10" s="7">
        <f>SUM('Low-price monthly forecast'!H11,'Low-price monthly forecast'!H12,'Low-price monthly forecast'!H13,'Low-price monthly forecast'!H14)</f>
        <v>40</v>
      </c>
      <c r="I10" s="7">
        <f>SUM('Low-price monthly forecast'!I11,'Low-price monthly forecast'!I12,'Low-price monthly forecast'!I13,'Low-price monthly forecast'!I14)</f>
        <v>40</v>
      </c>
      <c r="J10" s="7">
        <f>SUM('Low-price monthly forecast'!J11,'Low-price monthly forecast'!J12,'Low-price monthly forecast'!J13,'Low-price monthly forecast'!J14)</f>
        <v>40</v>
      </c>
      <c r="K10" s="7">
        <f>SUM('Low-price monthly forecast'!K11,'Low-price monthly forecast'!K12,'Low-price monthly forecast'!K13,'Low-price monthly forecast'!K14)</f>
        <v>40</v>
      </c>
      <c r="L10" s="7">
        <f>SUM('Low-price monthly forecast'!L11,'Low-price monthly forecast'!L12,'Low-price monthly forecast'!L13,'Low-price monthly forecast'!L14)</f>
        <v>40</v>
      </c>
      <c r="M10" s="7">
        <f>SUM('Low-price monthly forecast'!M11,'Low-price monthly forecast'!M12,'Low-price monthly forecast'!M13,'Low-price monthly forecast'!M14)</f>
        <v>40</v>
      </c>
      <c r="N10" s="7">
        <f>SUM('Low-price monthly forecast'!N11,'Low-price monthly forecast'!N12,'Low-price monthly forecast'!N13,'Low-price monthly forecast'!N14)</f>
        <v>40</v>
      </c>
      <c r="O10" s="7">
        <f>SUM('Low-price monthly forecast'!O11,'Low-price monthly forecast'!O12,'Low-price monthly forecast'!O13,'Low-price monthly forecast'!O14)</f>
        <v>40</v>
      </c>
      <c r="P10" s="7">
        <f>SUM('Low-price monthly forecast'!P11,'Low-price monthly forecast'!P12,'Low-price monthly forecast'!P13,'Low-price monthly forecast'!P14)</f>
        <v>40</v>
      </c>
      <c r="Q10" s="7">
        <f>SUM('Low-price monthly forecast'!Q11,'Low-price monthly forecast'!Q12,'Low-price monthly forecast'!Q13,'Low-price monthly forecast'!Q14)</f>
        <v>40</v>
      </c>
      <c r="R10" s="7">
        <f>SUM('Low-price monthly forecast'!R11,'Low-price monthly forecast'!R12,'Low-price monthly forecast'!R13,'Low-price monthly forecast'!R14)</f>
        <v>40</v>
      </c>
      <c r="S10" s="7">
        <f>SUM('Low-price monthly forecast'!S11,'Low-price monthly forecast'!S12,'Low-price monthly forecast'!S13,'Low-price monthly forecast'!S14)</f>
        <v>40</v>
      </c>
    </row>
    <row r="11" outlineLevel="1">
      <c r="A11" t="inlineStr" s="8">
        <is>
          <t xml:space="preserve">Business</t>
        </is>
      </c>
      <c r="B11" s="9">
        <f>'Model inputs'!B65*'Model inputs'!B22</f>
        <v>4</v>
      </c>
      <c r="C11" s="9">
        <f>'Model inputs'!B65*'Model inputs'!B22</f>
        <v>4</v>
      </c>
      <c r="D11" s="9">
        <f>'Model inputs'!B65*'Model inputs'!B22</f>
        <v>4</v>
      </c>
      <c r="E11" s="9">
        <f>'Model inputs'!B65*'Model inputs'!B22</f>
        <v>4</v>
      </c>
      <c r="F11" s="9">
        <f>'Model inputs'!B65*'Model inputs'!B22</f>
        <v>4</v>
      </c>
      <c r="G11" s="9">
        <f>'Model inputs'!B65*'Model inputs'!B22</f>
        <v>4</v>
      </c>
      <c r="H11" s="9">
        <f>'Model inputs'!B65*'Model inputs'!B22</f>
        <v>4</v>
      </c>
      <c r="I11" s="9">
        <f>'Model inputs'!B65*'Model inputs'!B22</f>
        <v>4</v>
      </c>
      <c r="J11" s="9">
        <f>'Model inputs'!B65*'Model inputs'!B22</f>
        <v>4</v>
      </c>
      <c r="K11" s="9">
        <f>'Model inputs'!B65*'Model inputs'!B22</f>
        <v>4</v>
      </c>
      <c r="L11" s="9">
        <f>'Model inputs'!B65*'Model inputs'!B22</f>
        <v>4</v>
      </c>
      <c r="M11" s="9">
        <f>'Model inputs'!B65*'Model inputs'!B22</f>
        <v>4</v>
      </c>
      <c r="N11" s="9">
        <f>'Model inputs'!B65*'Model inputs'!B22</f>
        <v>4</v>
      </c>
      <c r="O11" s="9">
        <f>'Model inputs'!B65*'Model inputs'!B22</f>
        <v>4</v>
      </c>
      <c r="P11" s="9">
        <f>'Model inputs'!B65*'Model inputs'!B22</f>
        <v>4</v>
      </c>
      <c r="Q11" s="9">
        <f>'Model inputs'!B65*'Model inputs'!B22</f>
        <v>4</v>
      </c>
      <c r="R11" s="9">
        <f>'Model inputs'!B65*'Model inputs'!B22</f>
        <v>4</v>
      </c>
      <c r="S11" s="9">
        <f>'Model inputs'!B65*'Model inputs'!B22</f>
        <v>4</v>
      </c>
    </row>
    <row r="12" outlineLevel="1">
      <c r="A12" t="inlineStr" s="8">
        <is>
          <t xml:space="preserve">Community</t>
        </is>
      </c>
      <c r="B12" s="9">
        <f>'Model inputs'!B65*'Model inputs'!B23</f>
        <v>0</v>
      </c>
      <c r="C12" s="9">
        <f>'Model inputs'!B65*'Model inputs'!B23</f>
        <v>0</v>
      </c>
      <c r="D12" s="9">
        <f>'Model inputs'!B65*'Model inputs'!B23</f>
        <v>0</v>
      </c>
      <c r="E12" s="9">
        <f>'Model inputs'!B65*'Model inputs'!B23</f>
        <v>0</v>
      </c>
      <c r="F12" s="9">
        <f>'Model inputs'!B65*'Model inputs'!B23</f>
        <v>0</v>
      </c>
      <c r="G12" s="9">
        <f>'Model inputs'!B65*'Model inputs'!B23</f>
        <v>0</v>
      </c>
      <c r="H12" s="9">
        <f>'Model inputs'!B65*'Model inputs'!B23</f>
        <v>0</v>
      </c>
      <c r="I12" s="9">
        <f>'Model inputs'!B65*'Model inputs'!B23</f>
        <v>0</v>
      </c>
      <c r="J12" s="9">
        <f>'Model inputs'!B65*'Model inputs'!B23</f>
        <v>0</v>
      </c>
      <c r="K12" s="9">
        <f>'Model inputs'!B65*'Model inputs'!B23</f>
        <v>0</v>
      </c>
      <c r="L12" s="9">
        <f>'Model inputs'!B65*'Model inputs'!B23</f>
        <v>0</v>
      </c>
      <c r="M12" s="9">
        <f>'Model inputs'!B65*'Model inputs'!B23</f>
        <v>0</v>
      </c>
      <c r="N12" s="9">
        <f>'Model inputs'!B65*'Model inputs'!B23</f>
        <v>0</v>
      </c>
      <c r="O12" s="9">
        <f>'Model inputs'!B65*'Model inputs'!B23</f>
        <v>0</v>
      </c>
      <c r="P12" s="9">
        <f>'Model inputs'!B65*'Model inputs'!B23</f>
        <v>0</v>
      </c>
      <c r="Q12" s="9">
        <f>'Model inputs'!B65*'Model inputs'!B23</f>
        <v>0</v>
      </c>
      <c r="R12" s="9">
        <f>'Model inputs'!B65*'Model inputs'!B23</f>
        <v>0</v>
      </c>
      <c r="S12" s="9">
        <f>'Model inputs'!B65*'Model inputs'!B23</f>
        <v>0</v>
      </c>
    </row>
    <row r="13" outlineLevel="1">
      <c r="A13" t="inlineStr" s="8">
        <is>
          <t xml:space="preserve">Starter</t>
        </is>
      </c>
      <c r="B13" s="9">
        <f>'Model inputs'!B65*'Model inputs'!B24</f>
        <v>22</v>
      </c>
      <c r="C13" s="9">
        <f>'Model inputs'!B65*'Model inputs'!B24</f>
        <v>22</v>
      </c>
      <c r="D13" s="9">
        <f>'Model inputs'!B65*'Model inputs'!B24</f>
        <v>22</v>
      </c>
      <c r="E13" s="9">
        <f>'Model inputs'!B65*'Model inputs'!B24</f>
        <v>22</v>
      </c>
      <c r="F13" s="9">
        <f>'Model inputs'!B65*'Model inputs'!B24</f>
        <v>22</v>
      </c>
      <c r="G13" s="9">
        <f>'Model inputs'!B65*'Model inputs'!B24</f>
        <v>22</v>
      </c>
      <c r="H13" s="9">
        <f>'Model inputs'!B65*'Model inputs'!B24</f>
        <v>22</v>
      </c>
      <c r="I13" s="9">
        <f>'Model inputs'!B65*'Model inputs'!B24</f>
        <v>22</v>
      </c>
      <c r="J13" s="9">
        <f>'Model inputs'!B65*'Model inputs'!B24</f>
        <v>22</v>
      </c>
      <c r="K13" s="9">
        <f>'Model inputs'!B65*'Model inputs'!B24</f>
        <v>22</v>
      </c>
      <c r="L13" s="9">
        <f>'Model inputs'!B65*'Model inputs'!B24</f>
        <v>22</v>
      </c>
      <c r="M13" s="9">
        <f>'Model inputs'!B65*'Model inputs'!B24</f>
        <v>22</v>
      </c>
      <c r="N13" s="9">
        <f>'Model inputs'!B65*'Model inputs'!B24</f>
        <v>22</v>
      </c>
      <c r="O13" s="9">
        <f>'Model inputs'!B65*'Model inputs'!B24</f>
        <v>22</v>
      </c>
      <c r="P13" s="9">
        <f>'Model inputs'!B65*'Model inputs'!B24</f>
        <v>22</v>
      </c>
      <c r="Q13" s="9">
        <f>'Model inputs'!B65*'Model inputs'!B24</f>
        <v>22</v>
      </c>
      <c r="R13" s="9">
        <f>'Model inputs'!B65*'Model inputs'!B24</f>
        <v>22</v>
      </c>
      <c r="S13" s="9">
        <f>'Model inputs'!B65*'Model inputs'!B24</f>
        <v>22</v>
      </c>
    </row>
    <row r="14" outlineLevel="1">
      <c r="A14" t="inlineStr" s="8">
        <is>
          <t xml:space="preserve">Team</t>
        </is>
      </c>
      <c r="B14" s="9">
        <f>'Model inputs'!B65*'Model inputs'!B25</f>
        <v>14</v>
      </c>
      <c r="C14" s="9">
        <f>'Model inputs'!B65*'Model inputs'!B25</f>
        <v>14</v>
      </c>
      <c r="D14" s="9">
        <f>'Model inputs'!B65*'Model inputs'!B25</f>
        <v>14</v>
      </c>
      <c r="E14" s="9">
        <f>'Model inputs'!B65*'Model inputs'!B25</f>
        <v>14</v>
      </c>
      <c r="F14" s="9">
        <f>'Model inputs'!B65*'Model inputs'!B25</f>
        <v>14</v>
      </c>
      <c r="G14" s="9">
        <f>'Model inputs'!B65*'Model inputs'!B25</f>
        <v>14</v>
      </c>
      <c r="H14" s="9">
        <f>'Model inputs'!B65*'Model inputs'!B25</f>
        <v>14</v>
      </c>
      <c r="I14" s="9">
        <f>'Model inputs'!B65*'Model inputs'!B25</f>
        <v>14</v>
      </c>
      <c r="J14" s="9">
        <f>'Model inputs'!B65*'Model inputs'!B25</f>
        <v>14</v>
      </c>
      <c r="K14" s="9">
        <f>'Model inputs'!B65*'Model inputs'!B25</f>
        <v>14</v>
      </c>
      <c r="L14" s="9">
        <f>'Model inputs'!B65*'Model inputs'!B25</f>
        <v>14</v>
      </c>
      <c r="M14" s="9">
        <f>'Model inputs'!B65*'Model inputs'!B25</f>
        <v>14</v>
      </c>
      <c r="N14" s="9">
        <f>'Model inputs'!B65*'Model inputs'!B25</f>
        <v>14</v>
      </c>
      <c r="O14" s="9">
        <f>'Model inputs'!B65*'Model inputs'!B25</f>
        <v>14</v>
      </c>
      <c r="P14" s="9">
        <f>'Model inputs'!B65*'Model inputs'!B25</f>
        <v>14</v>
      </c>
      <c r="Q14" s="9">
        <f>'Model inputs'!B65*'Model inputs'!B25</f>
        <v>14</v>
      </c>
      <c r="R14" s="9">
        <f>'Model inputs'!B65*'Model inputs'!B25</f>
        <v>14</v>
      </c>
      <c r="S14" s="9">
        <f>'Model inputs'!B65*'Model inputs'!B25</f>
        <v>14</v>
      </c>
    </row>
    <row r="15">
      <c r="A15" t="inlineStr" s="6">
        <is>
          <t xml:space="preserve">NW Churned customers</t>
        </is>
      </c>
      <c r="B15" s="7">
        <f>SUM('Low-price monthly forecast'!B16,'Low-price monthly forecast'!B17,'Low-price monthly forecast'!B18,'Low-price monthly forecast'!B19)</f>
        <v>0</v>
      </c>
      <c r="C15" s="7">
        <f>SUM('Low-price monthly forecast'!C16,'Low-price monthly forecast'!C17,'Low-price monthly forecast'!C18,'Low-price monthly forecast'!C19)</f>
        <v>1.6</v>
      </c>
      <c r="D15" s="7">
        <f>SUM('Low-price monthly forecast'!D16,'Low-price monthly forecast'!D17,'Low-price monthly forecast'!D18,'Low-price monthly forecast'!D19)</f>
        <v>3.136</v>
      </c>
      <c r="E15" s="7">
        <f>SUM('Low-price monthly forecast'!E16,'Low-price monthly forecast'!E17,'Low-price monthly forecast'!E18,'Low-price monthly forecast'!E19)</f>
        <v>4.61056</v>
      </c>
      <c r="F15" s="7">
        <f>SUM('Low-price monthly forecast'!F16,'Low-price monthly forecast'!F17,'Low-price monthly forecast'!F18,'Low-price monthly forecast'!F19)</f>
        <v>6.0261376</v>
      </c>
      <c r="G15" s="7">
        <f>SUM('Low-price monthly forecast'!G16,'Low-price monthly forecast'!G17,'Low-price monthly forecast'!G18,'Low-price monthly forecast'!G19)</f>
        <v>7.385092096</v>
      </c>
      <c r="H15" s="7">
        <f>SUM('Low-price monthly forecast'!H16,'Low-price monthly forecast'!H17,'Low-price monthly forecast'!H18,'Low-price monthly forecast'!H19)</f>
        <v>8.68968841216</v>
      </c>
      <c r="I15" s="7">
        <f>SUM('Low-price monthly forecast'!I16,'Low-price monthly forecast'!I17,'Low-price monthly forecast'!I18,'Low-price monthly forecast'!I19)</f>
        <v>9.9421008756736</v>
      </c>
      <c r="J15" s="7">
        <f>SUM('Low-price monthly forecast'!J16,'Low-price monthly forecast'!J17,'Low-price monthly forecast'!J18,'Low-price monthly forecast'!J19)</f>
        <v>11.144416840646656</v>
      </c>
      <c r="K15" s="7">
        <f>SUM('Low-price monthly forecast'!K16,'Low-price monthly forecast'!K17,'Low-price monthly forecast'!K18,'Low-price monthly forecast'!K19)</f>
        <v>12.298640167020789</v>
      </c>
      <c r="L15" s="7">
        <f>SUM('Low-price monthly forecast'!L16,'Low-price monthly forecast'!L17,'Low-price monthly forecast'!L18,'Low-price monthly forecast'!L19)</f>
        <v>13.406694560339957</v>
      </c>
      <c r="M15" s="7">
        <f>SUM('Low-price monthly forecast'!M16,'Low-price monthly forecast'!M17,'Low-price monthly forecast'!M18,'Low-price monthly forecast'!M19)</f>
        <v>14.47042677792636</v>
      </c>
      <c r="N15" s="7">
        <f>SUM('Low-price monthly forecast'!N16,'Low-price monthly forecast'!N17,'Low-price monthly forecast'!N18,'Low-price monthly forecast'!N19)</f>
        <v>15.491609706809303</v>
      </c>
      <c r="O15" s="7">
        <f>SUM('Low-price monthly forecast'!O16,'Low-price monthly forecast'!O17,'Low-price monthly forecast'!O18,'Low-price monthly forecast'!O19)</f>
        <v>16.471945318536932</v>
      </c>
      <c r="P15" s="7">
        <f>SUM('Low-price monthly forecast'!P16,'Low-price monthly forecast'!P17,'Low-price monthly forecast'!P18,'Low-price monthly forecast'!P19)</f>
        <v>17.413067505795453</v>
      </c>
      <c r="Q15" s="7">
        <f>SUM('Low-price monthly forecast'!Q16,'Low-price monthly forecast'!Q17,'Low-price monthly forecast'!Q18,'Low-price monthly forecast'!Q19)</f>
        <v>18.316544805563638</v>
      </c>
      <c r="R15" s="7">
        <f>SUM('Low-price monthly forecast'!R16,'Low-price monthly forecast'!R17,'Low-price monthly forecast'!R18,'Low-price monthly forecast'!R19)</f>
        <v>19.18388301334109</v>
      </c>
      <c r="S15" s="7">
        <f>SUM('Low-price monthly forecast'!S16,'Low-price monthly forecast'!S17,'Low-price monthly forecast'!S18,'Low-price monthly forecast'!S19)</f>
        <v>20.016527692807447</v>
      </c>
    </row>
    <row r="16" outlineLevel="1">
      <c r="A16" t="inlineStr" s="8">
        <is>
          <t xml:space="preserve">Business</t>
        </is>
      </c>
      <c r="B16" s="9">
        <f>'Low-price monthly forecast'!B6*'Model inputs'!B59</f>
        <v>0</v>
      </c>
      <c r="C16" s="9">
        <f>'Low-price monthly forecast'!C6*'Model inputs'!B59</f>
        <v>0.16</v>
      </c>
      <c r="D16" s="9">
        <f>'Low-price monthly forecast'!D6*'Model inputs'!B59</f>
        <v>0.3136</v>
      </c>
      <c r="E16" s="9">
        <f>'Low-price monthly forecast'!E6*'Model inputs'!B59</f>
        <v>0.461056</v>
      </c>
      <c r="F16" s="9">
        <f>'Low-price monthly forecast'!F6*'Model inputs'!B59</f>
        <v>0.6026137600000001</v>
      </c>
      <c r="G16" s="9">
        <f>'Low-price monthly forecast'!G6*'Model inputs'!B59</f>
        <v>0.7385092096000001</v>
      </c>
      <c r="H16" s="9">
        <f>'Low-price monthly forecast'!H6*'Model inputs'!B59</f>
        <v>0.8689688412160002</v>
      </c>
      <c r="I16" s="9">
        <f>'Low-price monthly forecast'!I6*'Model inputs'!B59</f>
        <v>0.9942100875673602</v>
      </c>
      <c r="J16" s="9">
        <f>'Low-price monthly forecast'!J6*'Model inputs'!B59</f>
        <v>1.1144416840646658</v>
      </c>
      <c r="K16" s="9">
        <f>'Low-price monthly forecast'!K6*'Model inputs'!B59</f>
        <v>1.2298640167020791</v>
      </c>
      <c r="L16" s="9">
        <f>'Low-price monthly forecast'!L6*'Model inputs'!B59</f>
        <v>1.3406694560339958</v>
      </c>
      <c r="M16" s="9">
        <f>'Low-price monthly forecast'!M6*'Model inputs'!B59</f>
        <v>1.447042677792636</v>
      </c>
      <c r="N16" s="9">
        <f>'Low-price monthly forecast'!N6*'Model inputs'!B59</f>
        <v>1.5491609706809306</v>
      </c>
      <c r="O16" s="9">
        <f>'Low-price monthly forecast'!O6*'Model inputs'!B59</f>
        <v>1.6471945318536934</v>
      </c>
      <c r="P16" s="9">
        <f>'Low-price monthly forecast'!P6*'Model inputs'!B59</f>
        <v>1.7413067505795456</v>
      </c>
      <c r="Q16" s="9">
        <f>'Low-price monthly forecast'!Q6*'Model inputs'!B59</f>
        <v>1.8316544805563637</v>
      </c>
      <c r="R16" s="9">
        <f>'Low-price monthly forecast'!R6*'Model inputs'!B59</f>
        <v>1.9183883013341092</v>
      </c>
      <c r="S16" s="9">
        <f>'Low-price monthly forecast'!S6*'Model inputs'!B59</f>
        <v>2.001652769280745</v>
      </c>
    </row>
    <row r="17" outlineLevel="1">
      <c r="A17" t="inlineStr" s="8">
        <is>
          <t xml:space="preserve">Community</t>
        </is>
      </c>
      <c r="B17" s="9">
        <f>'Low-price monthly forecast'!B7*'Model inputs'!B59</f>
        <v>0</v>
      </c>
      <c r="C17" s="9">
        <f>'Low-price monthly forecast'!C7*'Model inputs'!B59</f>
        <v>0</v>
      </c>
      <c r="D17" s="9">
        <f>'Low-price monthly forecast'!D7*'Model inputs'!B59</f>
        <v>0</v>
      </c>
      <c r="E17" s="9">
        <f>'Low-price monthly forecast'!E7*'Model inputs'!B59</f>
        <v>0</v>
      </c>
      <c r="F17" s="9">
        <f>'Low-price monthly forecast'!F7*'Model inputs'!B59</f>
        <v>0</v>
      </c>
      <c r="G17" s="9">
        <f>'Low-price monthly forecast'!G7*'Model inputs'!B59</f>
        <v>0</v>
      </c>
      <c r="H17" s="9">
        <f>'Low-price monthly forecast'!H7*'Model inputs'!B59</f>
        <v>0</v>
      </c>
      <c r="I17" s="9">
        <f>'Low-price monthly forecast'!I7*'Model inputs'!B59</f>
        <v>0</v>
      </c>
      <c r="J17" s="9">
        <f>'Low-price monthly forecast'!J7*'Model inputs'!B59</f>
        <v>0</v>
      </c>
      <c r="K17" s="9">
        <f>'Low-price monthly forecast'!K7*'Model inputs'!B59</f>
        <v>0</v>
      </c>
      <c r="L17" s="9">
        <f>'Low-price monthly forecast'!L7*'Model inputs'!B59</f>
        <v>0</v>
      </c>
      <c r="M17" s="9">
        <f>'Low-price monthly forecast'!M7*'Model inputs'!B59</f>
        <v>0</v>
      </c>
      <c r="N17" s="9">
        <f>'Low-price monthly forecast'!N7*'Model inputs'!B59</f>
        <v>0</v>
      </c>
      <c r="O17" s="9">
        <f>'Low-price monthly forecast'!O7*'Model inputs'!B59</f>
        <v>0</v>
      </c>
      <c r="P17" s="9">
        <f>'Low-price monthly forecast'!P7*'Model inputs'!B59</f>
        <v>0</v>
      </c>
      <c r="Q17" s="9">
        <f>'Low-price monthly forecast'!Q7*'Model inputs'!B59</f>
        <v>0</v>
      </c>
      <c r="R17" s="9">
        <f>'Low-price monthly forecast'!R7*'Model inputs'!B59</f>
        <v>0</v>
      </c>
      <c r="S17" s="9">
        <f>'Low-price monthly forecast'!S7*'Model inputs'!B59</f>
        <v>0</v>
      </c>
    </row>
    <row r="18" outlineLevel="1">
      <c r="A18" t="inlineStr" s="8">
        <is>
          <t xml:space="preserve">Starter</t>
        </is>
      </c>
      <c r="B18" s="9">
        <f>'Low-price monthly forecast'!B8*'Model inputs'!B59</f>
        <v>0</v>
      </c>
      <c r="C18" s="9">
        <f>'Low-price monthly forecast'!C8*'Model inputs'!B59</f>
        <v>0.88</v>
      </c>
      <c r="D18" s="9">
        <f>'Low-price monthly forecast'!D8*'Model inputs'!B59</f>
        <v>1.7247999999999999</v>
      </c>
      <c r="E18" s="9">
        <f>'Low-price monthly forecast'!E8*'Model inputs'!B59</f>
        <v>2.5358080000000003</v>
      </c>
      <c r="F18" s="9">
        <f>'Low-price monthly forecast'!F8*'Model inputs'!B59</f>
        <v>3.31437568</v>
      </c>
      <c r="G18" s="9">
        <f>'Low-price monthly forecast'!G8*'Model inputs'!B59</f>
        <v>4.061800652800001</v>
      </c>
      <c r="H18" s="9">
        <f>'Low-price monthly forecast'!H8*'Model inputs'!B59</f>
        <v>4.779328626688</v>
      </c>
      <c r="I18" s="9">
        <f>'Low-price monthly forecast'!I8*'Model inputs'!B59</f>
        <v>5.46815548162048</v>
      </c>
      <c r="J18" s="9">
        <f>'Low-price monthly forecast'!J8*'Model inputs'!B59</f>
        <v>6.129429262355662</v>
      </c>
      <c r="K18" s="9">
        <f>'Low-price monthly forecast'!K8*'Model inputs'!B59</f>
        <v>6.764252091861435</v>
      </c>
      <c r="L18" s="9">
        <f>'Low-price monthly forecast'!L8*'Model inputs'!B59</f>
        <v>7.373682008186977</v>
      </c>
      <c r="M18" s="9">
        <f>'Low-price monthly forecast'!M8*'Model inputs'!B59</f>
        <v>7.958734727859498</v>
      </c>
      <c r="N18" s="9">
        <f>'Low-price monthly forecast'!N8*'Model inputs'!B59</f>
        <v>8.520385338745116</v>
      </c>
      <c r="O18" s="9">
        <f>'Low-price monthly forecast'!O8*'Model inputs'!B59</f>
        <v>9.059569925195312</v>
      </c>
      <c r="P18" s="9">
        <f>'Low-price monthly forecast'!P8*'Model inputs'!B59</f>
        <v>9.5771871281875</v>
      </c>
      <c r="Q18" s="9">
        <f>'Low-price monthly forecast'!Q8*'Model inputs'!B59</f>
        <v>10.07409964306</v>
      </c>
      <c r="R18" s="9">
        <f>'Low-price monthly forecast'!R8*'Model inputs'!B59</f>
        <v>10.5511356573376</v>
      </c>
      <c r="S18" s="9">
        <f>'Low-price monthly forecast'!S8*'Model inputs'!B59</f>
        <v>11.009090231044095</v>
      </c>
    </row>
    <row r="19" outlineLevel="1">
      <c r="A19" t="inlineStr" s="8">
        <is>
          <t xml:space="preserve">Team</t>
        </is>
      </c>
      <c r="B19" s="9">
        <f>'Low-price monthly forecast'!B9*'Model inputs'!B59</f>
        <v>0</v>
      </c>
      <c r="C19" s="9">
        <f>'Low-price monthly forecast'!C9*'Model inputs'!B59</f>
        <v>0.56</v>
      </c>
      <c r="D19" s="9">
        <f>'Low-price monthly forecast'!D9*'Model inputs'!B59</f>
        <v>1.0976000000000001</v>
      </c>
      <c r="E19" s="9">
        <f>'Low-price monthly forecast'!E9*'Model inputs'!B59</f>
        <v>1.613696</v>
      </c>
      <c r="F19" s="9">
        <f>'Low-price monthly forecast'!F9*'Model inputs'!B59</f>
        <v>2.10914816</v>
      </c>
      <c r="G19" s="9">
        <f>'Low-price monthly forecast'!G9*'Model inputs'!B59</f>
        <v>2.5847822335999995</v>
      </c>
      <c r="H19" s="9">
        <f>'Low-price monthly forecast'!H9*'Model inputs'!B59</f>
        <v>3.041390944256</v>
      </c>
      <c r="I19" s="9">
        <f>'Low-price monthly forecast'!I9*'Model inputs'!B59</f>
        <v>3.47973530648576</v>
      </c>
      <c r="J19" s="9">
        <f>'Low-price monthly forecast'!J9*'Model inputs'!B59</f>
        <v>3.9005458942263296</v>
      </c>
      <c r="K19" s="9">
        <f>'Low-price monthly forecast'!K9*'Model inputs'!B59</f>
        <v>4.304524058457276</v>
      </c>
      <c r="L19" s="9">
        <f>'Low-price monthly forecast'!L9*'Model inputs'!B59</f>
        <v>4.692343096118986</v>
      </c>
      <c r="M19" s="9">
        <f>'Low-price monthly forecast'!M9*'Model inputs'!B59</f>
        <v>5.064649372274226</v>
      </c>
      <c r="N19" s="9">
        <f>'Low-price monthly forecast'!N9*'Model inputs'!B59</f>
        <v>5.422063397383256</v>
      </c>
      <c r="O19" s="9">
        <f>'Low-price monthly forecast'!O9*'Model inputs'!B59</f>
        <v>5.765180861487926</v>
      </c>
      <c r="P19" s="9">
        <f>'Low-price monthly forecast'!P9*'Model inputs'!B59</f>
        <v>6.094573627028409</v>
      </c>
      <c r="Q19" s="9">
        <f>'Low-price monthly forecast'!Q9*'Model inputs'!B59</f>
        <v>6.410790681947272</v>
      </c>
      <c r="R19" s="9">
        <f>'Low-price monthly forecast'!R9*'Model inputs'!B59</f>
        <v>6.714359054669382</v>
      </c>
      <c r="S19" s="9">
        <f>'Low-price monthly forecast'!S9*'Model inputs'!B59</f>
        <v>7.005784692482607</v>
      </c>
    </row>
    <row r="20">
      <c r="A20" t="inlineStr" s="6">
        <is>
          <t xml:space="preserve">NW Paying customers</t>
        </is>
      </c>
      <c r="B20" s="7">
        <f>SUM('Low-price monthly forecast'!B21,'Low-price monthly forecast'!B22,'Low-price monthly forecast'!B23,'Low-price monthly forecast'!B24)</f>
        <v>40</v>
      </c>
      <c r="C20" s="7">
        <f>SUM('Low-price monthly forecast'!C21,'Low-price monthly forecast'!C22,'Low-price monthly forecast'!C23,'Low-price monthly forecast'!C24)</f>
        <v>78.4</v>
      </c>
      <c r="D20" s="7">
        <f>SUM('Low-price monthly forecast'!D21,'Low-price monthly forecast'!D22,'Low-price monthly forecast'!D23,'Low-price monthly forecast'!D24)</f>
        <v>115.26400000000001</v>
      </c>
      <c r="E20" s="7">
        <f>SUM('Low-price monthly forecast'!E21,'Low-price monthly forecast'!E22,'Low-price monthly forecast'!E23,'Low-price monthly forecast'!E24)</f>
        <v>150.65344</v>
      </c>
      <c r="F20" s="7">
        <f>SUM('Low-price monthly forecast'!F21,'Low-price monthly forecast'!F22,'Low-price monthly forecast'!F23,'Low-price monthly forecast'!F24)</f>
        <v>184.6273024</v>
      </c>
      <c r="G20" s="7">
        <f>SUM('Low-price monthly forecast'!G21,'Low-price monthly forecast'!G22,'Low-price monthly forecast'!G23,'Low-price monthly forecast'!G24)</f>
        <v>217.242210304</v>
      </c>
      <c r="H20" s="7">
        <f>SUM('Low-price monthly forecast'!H21,'Low-price monthly forecast'!H22,'Low-price monthly forecast'!H23,'Low-price monthly forecast'!H24)</f>
        <v>248.55252189184</v>
      </c>
      <c r="I20" s="7">
        <f>SUM('Low-price monthly forecast'!I21,'Low-price monthly forecast'!I22,'Low-price monthly forecast'!I23,'Low-price monthly forecast'!I24)</f>
        <v>278.6104210161664</v>
      </c>
      <c r="J20" s="7">
        <f>SUM('Low-price monthly forecast'!J21,'Low-price monthly forecast'!J22,'Low-price monthly forecast'!J23,'Low-price monthly forecast'!J24)</f>
        <v>307.46600417551974</v>
      </c>
      <c r="K20" s="7">
        <f>SUM('Low-price monthly forecast'!K21,'Low-price monthly forecast'!K22,'Low-price monthly forecast'!K23,'Low-price monthly forecast'!K24)</f>
        <v>335.1673640084989</v>
      </c>
      <c r="L20" s="7">
        <f>SUM('Low-price monthly forecast'!L21,'Low-price monthly forecast'!L22,'Low-price monthly forecast'!L23,'Low-price monthly forecast'!L24)</f>
        <v>361.760669448159</v>
      </c>
      <c r="M20" s="7">
        <f>SUM('Low-price monthly forecast'!M21,'Low-price monthly forecast'!M22,'Low-price monthly forecast'!M23,'Low-price monthly forecast'!M24)</f>
        <v>387.2902426702326</v>
      </c>
      <c r="N20" s="7">
        <f>SUM('Low-price monthly forecast'!N21,'Low-price monthly forecast'!N22,'Low-price monthly forecast'!N23,'Low-price monthly forecast'!N24)</f>
        <v>411.7986329634233</v>
      </c>
      <c r="O20" s="7">
        <f>SUM('Low-price monthly forecast'!O21,'Low-price monthly forecast'!O22,'Low-price monthly forecast'!O23,'Low-price monthly forecast'!O24)</f>
        <v>435.32668764488636</v>
      </c>
      <c r="P20" s="7">
        <f>SUM('Low-price monthly forecast'!P21,'Low-price monthly forecast'!P22,'Low-price monthly forecast'!P23,'Low-price monthly forecast'!P24)</f>
        <v>457.9136201390909</v>
      </c>
      <c r="Q20" s="7">
        <f>SUM('Low-price monthly forecast'!Q21,'Low-price monthly forecast'!Q22,'Low-price monthly forecast'!Q23,'Low-price monthly forecast'!Q24)</f>
        <v>479.5970753335273</v>
      </c>
      <c r="R20" s="7">
        <f>SUM('Low-price monthly forecast'!R21,'Low-price monthly forecast'!R22,'Low-price monthly forecast'!R23,'Low-price monthly forecast'!R24)</f>
        <v>500.4131923201861</v>
      </c>
      <c r="S20" s="7">
        <f>SUM('Low-price monthly forecast'!S21,'Low-price monthly forecast'!S22,'Low-price monthly forecast'!S23,'Low-price monthly forecast'!S24)</f>
        <v>520.3966646273786</v>
      </c>
    </row>
    <row r="21" outlineLevel="1">
      <c r="A21" t="inlineStr" s="8">
        <is>
          <t xml:space="preserve">Business</t>
        </is>
      </c>
      <c r="B21" s="9">
        <f>'Low-price monthly forecast'!B6+'Low-price monthly forecast'!B11-'Low-price monthly forecast'!B16</f>
        <v>4</v>
      </c>
      <c r="C21" s="9">
        <f>'Low-price monthly forecast'!C6+'Low-price monthly forecast'!C11-'Low-price monthly forecast'!C16</f>
        <v>7.84</v>
      </c>
      <c r="D21" s="9">
        <f>'Low-price monthly forecast'!D6+'Low-price monthly forecast'!D11-'Low-price monthly forecast'!D16</f>
        <v>11.5264</v>
      </c>
      <c r="E21" s="9">
        <f>'Low-price monthly forecast'!E6+'Low-price monthly forecast'!E11-'Low-price monthly forecast'!E16</f>
        <v>15.065344000000001</v>
      </c>
      <c r="F21" s="9">
        <f>'Low-price monthly forecast'!F6+'Low-price monthly forecast'!F11-'Low-price monthly forecast'!F16</f>
        <v>18.462730240000003</v>
      </c>
      <c r="G21" s="9">
        <f>'Low-price monthly forecast'!G6+'Low-price monthly forecast'!G11-'Low-price monthly forecast'!G16</f>
        <v>21.724221030400003</v>
      </c>
      <c r="H21" s="9">
        <f>'Low-price monthly forecast'!H6+'Low-price monthly forecast'!H11-'Low-price monthly forecast'!H16</f>
        <v>24.855252189184004</v>
      </c>
      <c r="I21" s="9">
        <f>'Low-price monthly forecast'!I6+'Low-price monthly forecast'!I11-'Low-price monthly forecast'!I16</f>
        <v>27.861042101616643</v>
      </c>
      <c r="J21" s="9">
        <f>'Low-price monthly forecast'!J6+'Low-price monthly forecast'!J11-'Low-price monthly forecast'!J16</f>
        <v>30.746600417551978</v>
      </c>
      <c r="K21" s="9">
        <f>'Low-price monthly forecast'!K6+'Low-price monthly forecast'!K11-'Low-price monthly forecast'!K16</f>
        <v>33.516736400849894</v>
      </c>
      <c r="L21" s="9">
        <f>'Low-price monthly forecast'!L6+'Low-price monthly forecast'!L11-'Low-price monthly forecast'!L16</f>
        <v>36.1760669448159</v>
      </c>
      <c r="M21" s="9">
        <f>'Low-price monthly forecast'!M6+'Low-price monthly forecast'!M11-'Low-price monthly forecast'!M16</f>
        <v>38.72902426702326</v>
      </c>
      <c r="N21" s="9">
        <f>'Low-price monthly forecast'!N6+'Low-price monthly forecast'!N11-'Low-price monthly forecast'!N16</f>
        <v>41.17986329634233</v>
      </c>
      <c r="O21" s="9">
        <f>'Low-price monthly forecast'!O6+'Low-price monthly forecast'!O11-'Low-price monthly forecast'!O16</f>
        <v>43.53266876448864</v>
      </c>
      <c r="P21" s="9">
        <f>'Low-price monthly forecast'!P6+'Low-price monthly forecast'!P11-'Low-price monthly forecast'!P16</f>
        <v>45.791362013909094</v>
      </c>
      <c r="Q21" s="9">
        <f>'Low-price monthly forecast'!Q6+'Low-price monthly forecast'!Q11-'Low-price monthly forecast'!Q16</f>
        <v>47.95970753335273</v>
      </c>
      <c r="R21" s="9">
        <f>'Low-price monthly forecast'!R6+'Low-price monthly forecast'!R11-'Low-price monthly forecast'!R16</f>
        <v>50.041319232018616</v>
      </c>
      <c r="S21" s="9">
        <f>'Low-price monthly forecast'!S6+'Low-price monthly forecast'!S11-'Low-price monthly forecast'!S16</f>
        <v>52.03966646273787</v>
      </c>
    </row>
    <row r="22" outlineLevel="1">
      <c r="A22" t="inlineStr" s="8">
        <is>
          <t xml:space="preserve">Community</t>
        </is>
      </c>
      <c r="B22" s="9">
        <f>'Low-price monthly forecast'!B7+'Low-price monthly forecast'!B12-'Low-price monthly forecast'!B17</f>
        <v>0</v>
      </c>
      <c r="C22" s="9">
        <f>'Low-price monthly forecast'!C7+'Low-price monthly forecast'!C12-'Low-price monthly forecast'!C17</f>
        <v>0</v>
      </c>
      <c r="D22" s="9">
        <f>'Low-price monthly forecast'!D7+'Low-price monthly forecast'!D12-'Low-price monthly forecast'!D17</f>
        <v>0</v>
      </c>
      <c r="E22" s="9">
        <f>'Low-price monthly forecast'!E7+'Low-price monthly forecast'!E12-'Low-price monthly forecast'!E17</f>
        <v>0</v>
      </c>
      <c r="F22" s="9">
        <f>'Low-price monthly forecast'!F7+'Low-price monthly forecast'!F12-'Low-price monthly forecast'!F17</f>
        <v>0</v>
      </c>
      <c r="G22" s="9">
        <f>'Low-price monthly forecast'!G7+'Low-price monthly forecast'!G12-'Low-price monthly forecast'!G17</f>
        <v>0</v>
      </c>
      <c r="H22" s="9">
        <f>'Low-price monthly forecast'!H7+'Low-price monthly forecast'!H12-'Low-price monthly forecast'!H17</f>
        <v>0</v>
      </c>
      <c r="I22" s="9">
        <f>'Low-price monthly forecast'!I7+'Low-price monthly forecast'!I12-'Low-price monthly forecast'!I17</f>
        <v>0</v>
      </c>
      <c r="J22" s="9">
        <f>'Low-price monthly forecast'!J7+'Low-price monthly forecast'!J12-'Low-price monthly forecast'!J17</f>
        <v>0</v>
      </c>
      <c r="K22" s="9">
        <f>'Low-price monthly forecast'!K7+'Low-price monthly forecast'!K12-'Low-price monthly forecast'!K17</f>
        <v>0</v>
      </c>
      <c r="L22" s="9">
        <f>'Low-price monthly forecast'!L7+'Low-price monthly forecast'!L12-'Low-price monthly forecast'!L17</f>
        <v>0</v>
      </c>
      <c r="M22" s="9">
        <f>'Low-price monthly forecast'!M7+'Low-price monthly forecast'!M12-'Low-price monthly forecast'!M17</f>
        <v>0</v>
      </c>
      <c r="N22" s="9">
        <f>'Low-price monthly forecast'!N7+'Low-price monthly forecast'!N12-'Low-price monthly forecast'!N17</f>
        <v>0</v>
      </c>
      <c r="O22" s="9">
        <f>'Low-price monthly forecast'!O7+'Low-price monthly forecast'!O12-'Low-price monthly forecast'!O17</f>
        <v>0</v>
      </c>
      <c r="P22" s="9">
        <f>'Low-price monthly forecast'!P7+'Low-price monthly forecast'!P12-'Low-price monthly forecast'!P17</f>
        <v>0</v>
      </c>
      <c r="Q22" s="9">
        <f>'Low-price monthly forecast'!Q7+'Low-price monthly forecast'!Q12-'Low-price monthly forecast'!Q17</f>
        <v>0</v>
      </c>
      <c r="R22" s="9">
        <f>'Low-price monthly forecast'!R7+'Low-price monthly forecast'!R12-'Low-price monthly forecast'!R17</f>
        <v>0</v>
      </c>
      <c r="S22" s="9">
        <f>'Low-price monthly forecast'!S7+'Low-price monthly forecast'!S12-'Low-price monthly forecast'!S17</f>
        <v>0</v>
      </c>
    </row>
    <row r="23" outlineLevel="1">
      <c r="A23" t="inlineStr" s="8">
        <is>
          <t xml:space="preserve">Starter</t>
        </is>
      </c>
      <c r="B23" s="9">
        <f>'Low-price monthly forecast'!B8+'Low-price monthly forecast'!B13-'Low-price monthly forecast'!B18</f>
        <v>22</v>
      </c>
      <c r="C23" s="9">
        <f>'Low-price monthly forecast'!C8+'Low-price monthly forecast'!C13-'Low-price monthly forecast'!C18</f>
        <v>43.12</v>
      </c>
      <c r="D23" s="9">
        <f>'Low-price monthly forecast'!D8+'Low-price monthly forecast'!D13-'Low-price monthly forecast'!D18</f>
        <v>63.3952</v>
      </c>
      <c r="E23" s="9">
        <f>'Low-price monthly forecast'!E8+'Low-price monthly forecast'!E13-'Low-price monthly forecast'!E18</f>
        <v>82.859392</v>
      </c>
      <c r="F23" s="9">
        <f>'Low-price monthly forecast'!F8+'Low-price monthly forecast'!F13-'Low-price monthly forecast'!F18</f>
        <v>101.54501632</v>
      </c>
      <c r="G23" s="9">
        <f>'Low-price monthly forecast'!G8+'Low-price monthly forecast'!G13-'Low-price monthly forecast'!G18</f>
        <v>119.4832156672</v>
      </c>
      <c r="H23" s="9">
        <f>'Low-price monthly forecast'!H8+'Low-price monthly forecast'!H13-'Low-price monthly forecast'!H18</f>
        <v>136.703887040512</v>
      </c>
      <c r="I23" s="9">
        <f>'Low-price monthly forecast'!I8+'Low-price monthly forecast'!I13-'Low-price monthly forecast'!I18</f>
        <v>153.23573155889153</v>
      </c>
      <c r="J23" s="9">
        <f>'Low-price monthly forecast'!J8+'Low-price monthly forecast'!J13-'Low-price monthly forecast'!J18</f>
        <v>169.10630229653586</v>
      </c>
      <c r="K23" s="9">
        <f>'Low-price monthly forecast'!K8+'Low-price monthly forecast'!K13-'Low-price monthly forecast'!K18</f>
        <v>184.34205020467442</v>
      </c>
      <c r="L23" s="9">
        <f>'Low-price monthly forecast'!L8+'Low-price monthly forecast'!L13-'Low-price monthly forecast'!L18</f>
        <v>198.96836819648743</v>
      </c>
      <c r="M23" s="9">
        <f>'Low-price monthly forecast'!M8+'Low-price monthly forecast'!M13-'Low-price monthly forecast'!M18</f>
        <v>213.00963346862792</v>
      </c>
      <c r="N23" s="9">
        <f>'Low-price monthly forecast'!N8+'Low-price monthly forecast'!N13-'Low-price monthly forecast'!N18</f>
        <v>226.4892481298828</v>
      </c>
      <c r="O23" s="9">
        <f>'Low-price monthly forecast'!O8+'Low-price monthly forecast'!O13-'Low-price monthly forecast'!O18</f>
        <v>239.4296782046875</v>
      </c>
      <c r="P23" s="9">
        <f>'Low-price monthly forecast'!P8+'Low-price monthly forecast'!P13-'Low-price monthly forecast'!P18</f>
        <v>251.8524910765</v>
      </c>
      <c r="Q23" s="9">
        <f>'Low-price monthly forecast'!Q8+'Low-price monthly forecast'!Q13-'Low-price monthly forecast'!Q18</f>
        <v>263.77839143344</v>
      </c>
      <c r="R23" s="9">
        <f>'Low-price monthly forecast'!R8+'Low-price monthly forecast'!R13-'Low-price monthly forecast'!R18</f>
        <v>275.22725577610237</v>
      </c>
      <c r="S23" s="9">
        <f>'Low-price monthly forecast'!S8+'Low-price monthly forecast'!S13-'Low-price monthly forecast'!S18</f>
        <v>286.2181655450583</v>
      </c>
    </row>
    <row r="24" outlineLevel="1">
      <c r="A24" t="inlineStr" s="8">
        <is>
          <t xml:space="preserve">Team</t>
        </is>
      </c>
      <c r="B24" s="9">
        <f>'Low-price monthly forecast'!B9+'Low-price monthly forecast'!B14-'Low-price monthly forecast'!B19</f>
        <v>14</v>
      </c>
      <c r="C24" s="9">
        <f>'Low-price monthly forecast'!C9+'Low-price monthly forecast'!C14-'Low-price monthly forecast'!C19</f>
        <v>27.44</v>
      </c>
      <c r="D24" s="9">
        <f>'Low-price monthly forecast'!D9+'Low-price monthly forecast'!D14-'Low-price monthly forecast'!D19</f>
        <v>40.3424</v>
      </c>
      <c r="E24" s="9">
        <f>'Low-price monthly forecast'!E9+'Low-price monthly forecast'!E14-'Low-price monthly forecast'!E19</f>
        <v>52.728704</v>
      </c>
      <c r="F24" s="9">
        <f>'Low-price monthly forecast'!F9+'Low-price monthly forecast'!F14-'Low-price monthly forecast'!F19</f>
        <v>64.61955583999999</v>
      </c>
      <c r="G24" s="9">
        <f>'Low-price monthly forecast'!G9+'Low-price monthly forecast'!G14-'Low-price monthly forecast'!G19</f>
        <v>76.0347736064</v>
      </c>
      <c r="H24" s="9">
        <f>'Low-price monthly forecast'!H9+'Low-price monthly forecast'!H14-'Low-price monthly forecast'!H19</f>
        <v>86.993382662144</v>
      </c>
      <c r="I24" s="9">
        <f>'Low-price monthly forecast'!I9+'Low-price monthly forecast'!I14-'Low-price monthly forecast'!I19</f>
        <v>97.51364735565824</v>
      </c>
      <c r="J24" s="9">
        <f>'Low-price monthly forecast'!J9+'Low-price monthly forecast'!J14-'Low-price monthly forecast'!J19</f>
        <v>107.61310146143191</v>
      </c>
      <c r="K24" s="9">
        <f>'Low-price monthly forecast'!K9+'Low-price monthly forecast'!K14-'Low-price monthly forecast'!K19</f>
        <v>117.30857740297463</v>
      </c>
      <c r="L24" s="9">
        <f>'Low-price monthly forecast'!L9+'Low-price monthly forecast'!L14-'Low-price monthly forecast'!L19</f>
        <v>126.61623430685565</v>
      </c>
      <c r="M24" s="9">
        <f>'Low-price monthly forecast'!M9+'Low-price monthly forecast'!M14-'Low-price monthly forecast'!M19</f>
        <v>135.5515849345814</v>
      </c>
      <c r="N24" s="9">
        <f>'Low-price monthly forecast'!N9+'Low-price monthly forecast'!N14-'Low-price monthly forecast'!N19</f>
        <v>144.12952153719814</v>
      </c>
      <c r="O24" s="9">
        <f>'Low-price monthly forecast'!O9+'Low-price monthly forecast'!O14-'Low-price monthly forecast'!O19</f>
        <v>152.36434067571022</v>
      </c>
      <c r="P24" s="9">
        <f>'Low-price monthly forecast'!P9+'Low-price monthly forecast'!P14-'Low-price monthly forecast'!P19</f>
        <v>160.2697670486818</v>
      </c>
      <c r="Q24" s="9">
        <f>'Low-price monthly forecast'!Q9+'Low-price monthly forecast'!Q14-'Low-price monthly forecast'!Q19</f>
        <v>167.85897636673454</v>
      </c>
      <c r="R24" s="9">
        <f>'Low-price monthly forecast'!R9+'Low-price monthly forecast'!R14-'Low-price monthly forecast'!R19</f>
        <v>175.14461731206515</v>
      </c>
      <c r="S24" s="9">
        <f>'Low-price monthly forecast'!S9+'Low-price monthly forecast'!S14-'Low-price monthly forecast'!S19</f>
        <v>182.13883261958256</v>
      </c>
    </row>
    <row r="25">
      <c r="A25" t="inlineStr" s="6">
        <is>
          <t xml:space="preserve">NW Subscription revenue</t>
        </is>
      </c>
      <c r="B25" s="10">
        <f>SUM('Low-price monthly forecast'!B26,'Low-price monthly forecast'!B27,'Low-price monthly forecast'!B28,'Low-price monthly forecast'!B29)</f>
        <v>1154</v>
      </c>
      <c r="C25" s="10">
        <f>SUM('Low-price monthly forecast'!C26,'Low-price monthly forecast'!C27,'Low-price monthly forecast'!C28,'Low-price monthly forecast'!C29)</f>
        <v>2261.84</v>
      </c>
      <c r="D25" s="10">
        <f>SUM('Low-price monthly forecast'!D26,'Low-price monthly forecast'!D27,'Low-price monthly forecast'!D28,'Low-price monthly forecast'!D29)</f>
        <v>3325.3664</v>
      </c>
      <c r="E25" s="10">
        <f>SUM('Low-price monthly forecast'!E26,'Low-price monthly forecast'!E27,'Low-price monthly forecast'!E28,'Low-price monthly forecast'!E29)</f>
        <v>4346.3517440000005</v>
      </c>
      <c r="F25" s="10">
        <f>SUM('Low-price monthly forecast'!F26,'Low-price monthly forecast'!F27,'Low-price monthly forecast'!F28,'Low-price monthly forecast'!F29)</f>
        <v>5326.49767424</v>
      </c>
      <c r="G25" s="10">
        <f>SUM('Low-price monthly forecast'!G26,'Low-price monthly forecast'!G27,'Low-price monthly forecast'!G28,'Low-price monthly forecast'!G29)</f>
        <v>6267.4377672704</v>
      </c>
      <c r="H25" s="10">
        <f>SUM('Low-price monthly forecast'!H26,'Low-price monthly forecast'!H27,'Low-price monthly forecast'!H28,'Low-price monthly forecast'!H29)</f>
        <v>7170.740256579585</v>
      </c>
      <c r="I25" s="10">
        <f>SUM('Low-price monthly forecast'!I26,'Low-price monthly forecast'!I27,'Low-price monthly forecast'!I28,'Low-price monthly forecast'!I29)</f>
        <v>8037.910646316402</v>
      </c>
      <c r="J25" s="10">
        <f>SUM('Low-price monthly forecast'!J26,'Low-price monthly forecast'!J27,'Low-price monthly forecast'!J28,'Low-price monthly forecast'!J29)</f>
        <v>8870.394220463746</v>
      </c>
      <c r="K25" s="10">
        <f>SUM('Low-price monthly forecast'!K26,'Low-price monthly forecast'!K27,'Low-price monthly forecast'!K28,'Low-price monthly forecast'!K29)</f>
        <v>9669.578451645195</v>
      </c>
      <c r="L25" s="10">
        <f>SUM('Low-price monthly forecast'!L26,'Low-price monthly forecast'!L27,'Low-price monthly forecast'!L28,'Low-price monthly forecast'!L29)</f>
        <v>10436.795313579387</v>
      </c>
      <c r="M25" s="10">
        <f>SUM('Low-price monthly forecast'!M26,'Low-price monthly forecast'!M27,'Low-price monthly forecast'!M28,'Low-price monthly forecast'!M29)</f>
        <v>11173.323501036211</v>
      </c>
      <c r="N25" s="10">
        <f>SUM('Low-price monthly forecast'!N26,'Low-price monthly forecast'!N27,'Low-price monthly forecast'!N28,'Low-price monthly forecast'!N29)</f>
        <v>11880.390560994761</v>
      </c>
      <c r="O25" s="10">
        <f>SUM('Low-price monthly forecast'!O26,'Low-price monthly forecast'!O27,'Low-price monthly forecast'!O28,'Low-price monthly forecast'!O29)</f>
        <v>12559.174938554972</v>
      </c>
      <c r="P25" s="10">
        <f>SUM('Low-price monthly forecast'!P26,'Low-price monthly forecast'!P27,'Low-price monthly forecast'!P28,'Low-price monthly forecast'!P29)</f>
        <v>13210.807941012772</v>
      </c>
      <c r="Q25" s="10">
        <f>SUM('Low-price monthly forecast'!Q26,'Low-price monthly forecast'!Q27,'Low-price monthly forecast'!Q28,'Low-price monthly forecast'!Q29)</f>
        <v>13836.375623372262</v>
      </c>
      <c r="R25" s="10">
        <f>SUM('Low-price monthly forecast'!R26,'Low-price monthly forecast'!R27,'Low-price monthly forecast'!R28,'Low-price monthly forecast'!R29)</f>
        <v>14436.92059843737</v>
      </c>
      <c r="S25" s="10">
        <f>SUM('Low-price monthly forecast'!S26,'Low-price monthly forecast'!S27,'Low-price monthly forecast'!S28,'Low-price monthly forecast'!S29)</f>
        <v>15013.443774499876</v>
      </c>
    </row>
    <row r="26" outlineLevel="1">
      <c r="A26" t="inlineStr" s="8">
        <is>
          <t xml:space="preserve">Business</t>
        </is>
      </c>
      <c r="B26" s="11">
        <f>'Low-price monthly forecast'!B21*'Model inputs'!B94</f>
        <v>624</v>
      </c>
      <c r="C26" s="11">
        <f>'Low-price monthly forecast'!C21*'Model inputs'!B94</f>
        <v>1223.04</v>
      </c>
      <c r="D26" s="11">
        <f>'Low-price monthly forecast'!D21*'Model inputs'!B94</f>
        <v>1798.1184</v>
      </c>
      <c r="E26" s="11">
        <f>'Low-price monthly forecast'!E21*'Model inputs'!B94</f>
        <v>2350.1936640000004</v>
      </c>
      <c r="F26" s="11">
        <f>'Low-price monthly forecast'!F21*'Model inputs'!B94</f>
        <v>2880.1859174400006</v>
      </c>
      <c r="G26" s="11">
        <f>'Low-price monthly forecast'!G21*'Model inputs'!B94</f>
        <v>3388.9784807424003</v>
      </c>
      <c r="H26" s="11">
        <f>'Low-price monthly forecast'!H21*'Model inputs'!B94</f>
        <v>3877.4193415127047</v>
      </c>
      <c r="I26" s="11">
        <f>'Low-price monthly forecast'!I21*'Model inputs'!B94</f>
        <v>4346.322567852197</v>
      </c>
      <c r="J26" s="11">
        <f>'Low-price monthly forecast'!J21*'Model inputs'!B94</f>
        <v>4796.469665138108</v>
      </c>
      <c r="K26" s="11">
        <f>'Low-price monthly forecast'!K21*'Model inputs'!B94</f>
        <v>5228.610878532583</v>
      </c>
      <c r="L26" s="11">
        <f>'Low-price monthly forecast'!L21*'Model inputs'!B94</f>
        <v>5643.46644339128</v>
      </c>
      <c r="M26" s="11">
        <f>'Low-price monthly forecast'!M21*'Model inputs'!B94</f>
        <v>6041.727785655629</v>
      </c>
      <c r="N26" s="11">
        <f>'Low-price monthly forecast'!N21*'Model inputs'!B94</f>
        <v>6424.058674229404</v>
      </c>
      <c r="O26" s="11">
        <f>'Low-price monthly forecast'!O21*'Model inputs'!B94</f>
        <v>6791.096327260228</v>
      </c>
      <c r="P26" s="11">
        <f>'Low-price monthly forecast'!P21*'Model inputs'!B94</f>
        <v>7143.452474169819</v>
      </c>
      <c r="Q26" s="11">
        <f>'Low-price monthly forecast'!Q21*'Model inputs'!B94</f>
        <v>7481.714375203025</v>
      </c>
      <c r="R26" s="11">
        <f>'Low-price monthly forecast'!R21*'Model inputs'!B94</f>
        <v>7806.445800194904</v>
      </c>
      <c r="S26" s="11">
        <f>'Low-price monthly forecast'!S21*'Model inputs'!B94</f>
        <v>8118.187968187108</v>
      </c>
    </row>
    <row r="27" outlineLevel="1">
      <c r="A27" t="inlineStr" s="8">
        <is>
          <t xml:space="preserve">Community</t>
        </is>
      </c>
      <c r="B27" s="11">
        <f>'Low-price monthly forecast'!B22*'Model inputs'!B95</f>
        <v>0</v>
      </c>
      <c r="C27" s="11">
        <f>'Low-price monthly forecast'!C22*'Model inputs'!B95</f>
        <v>0</v>
      </c>
      <c r="D27" s="11">
        <f>'Low-price monthly forecast'!D22*'Model inputs'!B95</f>
        <v>0</v>
      </c>
      <c r="E27" s="11">
        <f>'Low-price monthly forecast'!E22*'Model inputs'!B95</f>
        <v>0</v>
      </c>
      <c r="F27" s="11">
        <f>'Low-price monthly forecast'!F22*'Model inputs'!B95</f>
        <v>0</v>
      </c>
      <c r="G27" s="11">
        <f>'Low-price monthly forecast'!G22*'Model inputs'!B95</f>
        <v>0</v>
      </c>
      <c r="H27" s="11">
        <f>'Low-price monthly forecast'!H22*'Model inputs'!B95</f>
        <v>0</v>
      </c>
      <c r="I27" s="11">
        <f>'Low-price monthly forecast'!I22*'Model inputs'!B95</f>
        <v>0</v>
      </c>
      <c r="J27" s="11">
        <f>'Low-price monthly forecast'!J22*'Model inputs'!B95</f>
        <v>0</v>
      </c>
      <c r="K27" s="11">
        <f>'Low-price monthly forecast'!K22*'Model inputs'!B95</f>
        <v>0</v>
      </c>
      <c r="L27" s="11">
        <f>'Low-price monthly forecast'!L22*'Model inputs'!B95</f>
        <v>0</v>
      </c>
      <c r="M27" s="11">
        <f>'Low-price monthly forecast'!M22*'Model inputs'!B95</f>
        <v>0</v>
      </c>
      <c r="N27" s="11">
        <f>'Low-price monthly forecast'!N22*'Model inputs'!B95</f>
        <v>0</v>
      </c>
      <c r="O27" s="11">
        <f>'Low-price monthly forecast'!O22*'Model inputs'!B95</f>
        <v>0</v>
      </c>
      <c r="P27" s="11">
        <f>'Low-price monthly forecast'!P22*'Model inputs'!B95</f>
        <v>0</v>
      </c>
      <c r="Q27" s="11">
        <f>'Low-price monthly forecast'!Q22*'Model inputs'!B95</f>
        <v>0</v>
      </c>
      <c r="R27" s="11">
        <f>'Low-price monthly forecast'!R22*'Model inputs'!B95</f>
        <v>0</v>
      </c>
      <c r="S27" s="11">
        <f>'Low-price monthly forecast'!S22*'Model inputs'!B95</f>
        <v>0</v>
      </c>
    </row>
    <row r="28" outlineLevel="1">
      <c r="A28" t="inlineStr" s="8">
        <is>
          <t xml:space="preserve">Starter</t>
        </is>
      </c>
      <c r="B28" s="11">
        <f>'Low-price monthly forecast'!B23*'Model inputs'!B96</f>
        <v>110</v>
      </c>
      <c r="C28" s="11">
        <f>'Low-price monthly forecast'!C23*'Model inputs'!B96</f>
        <v>215.6</v>
      </c>
      <c r="D28" s="11">
        <f>'Low-price monthly forecast'!D23*'Model inputs'!B96</f>
        <v>316.976</v>
      </c>
      <c r="E28" s="11">
        <f>'Low-price monthly forecast'!E23*'Model inputs'!B96</f>
        <v>414.29696</v>
      </c>
      <c r="F28" s="11">
        <f>'Low-price monthly forecast'!F23*'Model inputs'!B96</f>
        <v>507.7250816</v>
      </c>
      <c r="G28" s="11">
        <f>'Low-price monthly forecast'!G23*'Model inputs'!B96</f>
        <v>597.416078336</v>
      </c>
      <c r="H28" s="11">
        <f>'Low-price monthly forecast'!H23*'Model inputs'!B96</f>
        <v>683.51943520256</v>
      </c>
      <c r="I28" s="11">
        <f>'Low-price monthly forecast'!I23*'Model inputs'!B96</f>
        <v>766.1786577944576</v>
      </c>
      <c r="J28" s="11">
        <f>'Low-price monthly forecast'!J23*'Model inputs'!B96</f>
        <v>845.5315114826793</v>
      </c>
      <c r="K28" s="11">
        <f>'Low-price monthly forecast'!K23*'Model inputs'!B96</f>
        <v>921.7102510233722</v>
      </c>
      <c r="L28" s="11">
        <f>'Low-price monthly forecast'!L23*'Model inputs'!B96</f>
        <v>994.8418409824371</v>
      </c>
      <c r="M28" s="11">
        <f>'Low-price monthly forecast'!M23*'Model inputs'!B96</f>
        <v>1065.0481673431395</v>
      </c>
      <c r="N28" s="11">
        <f>'Low-price monthly forecast'!N23*'Model inputs'!B96</f>
        <v>1132.446240649414</v>
      </c>
      <c r="O28" s="11">
        <f>'Low-price monthly forecast'!O23*'Model inputs'!B96</f>
        <v>1197.1483910234374</v>
      </c>
      <c r="P28" s="11">
        <f>'Low-price monthly forecast'!P23*'Model inputs'!B96</f>
        <v>1259.2624553825</v>
      </c>
      <c r="Q28" s="11">
        <f>'Low-price monthly forecast'!Q23*'Model inputs'!B96</f>
        <v>1318.8919571672</v>
      </c>
      <c r="R28" s="11">
        <f>'Low-price monthly forecast'!R23*'Model inputs'!B96</f>
        <v>1376.1362788805118</v>
      </c>
      <c r="S28" s="11">
        <f>'Low-price monthly forecast'!S23*'Model inputs'!B96</f>
        <v>1431.0908277252915</v>
      </c>
    </row>
    <row r="29" outlineLevel="1">
      <c r="A29" t="inlineStr" s="8">
        <is>
          <t xml:space="preserve">Team</t>
        </is>
      </c>
      <c r="B29" s="11">
        <f>'Low-price monthly forecast'!B24*'Model inputs'!B97</f>
        <v>420</v>
      </c>
      <c r="C29" s="11">
        <f>'Low-price monthly forecast'!C24*'Model inputs'!B97</f>
        <v>823.2</v>
      </c>
      <c r="D29" s="11">
        <f>'Low-price monthly forecast'!D24*'Model inputs'!B97</f>
        <v>1210.272</v>
      </c>
      <c r="E29" s="11">
        <f>'Low-price monthly forecast'!E24*'Model inputs'!B97</f>
        <v>1581.86112</v>
      </c>
      <c r="F29" s="11">
        <f>'Low-price monthly forecast'!F24*'Model inputs'!B97</f>
        <v>1938.5866751999997</v>
      </c>
      <c r="G29" s="11">
        <f>'Low-price monthly forecast'!G24*'Model inputs'!B97</f>
        <v>2281.043208192</v>
      </c>
      <c r="H29" s="11">
        <f>'Low-price monthly forecast'!H24*'Model inputs'!B97</f>
        <v>2609.80147986432</v>
      </c>
      <c r="I29" s="11">
        <f>'Low-price monthly forecast'!I24*'Model inputs'!B97</f>
        <v>2925.4094206697473</v>
      </c>
      <c r="J29" s="11">
        <f>'Low-price monthly forecast'!J24*'Model inputs'!B97</f>
        <v>3228.3930438429575</v>
      </c>
      <c r="K29" s="11">
        <f>'Low-price monthly forecast'!K24*'Model inputs'!B97</f>
        <v>3519.257322089239</v>
      </c>
      <c r="L29" s="11">
        <f>'Low-price monthly forecast'!L24*'Model inputs'!B97</f>
        <v>3798.4870292056694</v>
      </c>
      <c r="M29" s="11">
        <f>'Low-price monthly forecast'!M24*'Model inputs'!B97</f>
        <v>4066.547548037442</v>
      </c>
      <c r="N29" s="11">
        <f>'Low-price monthly forecast'!N24*'Model inputs'!B97</f>
        <v>4323.885646115944</v>
      </c>
      <c r="O29" s="11">
        <f>'Low-price monthly forecast'!O24*'Model inputs'!B97</f>
        <v>4570.930220271307</v>
      </c>
      <c r="P29" s="11">
        <f>'Low-price monthly forecast'!P24*'Model inputs'!B97</f>
        <v>4808.093011460454</v>
      </c>
      <c r="Q29" s="11">
        <f>'Low-price monthly forecast'!Q24*'Model inputs'!B97</f>
        <v>5035.769291002036</v>
      </c>
      <c r="R29" s="11">
        <f>'Low-price monthly forecast'!R24*'Model inputs'!B97</f>
        <v>5254.338519361954</v>
      </c>
      <c r="S29" s="11">
        <f>'Low-price monthly forecast'!S24*'Model inputs'!B97</f>
        <v>5464.164978587477</v>
      </c>
    </row>
    <row r="30">
      <c r="A30" t="inlineStr" s="6">
        <is>
          <t xml:space="preserve">NW Overage revenue</t>
        </is>
      </c>
      <c r="B30" s="10">
        <f>SUM('Low-price monthly forecast'!B31,'Low-price monthly forecast'!B32,'Low-price monthly forecast'!B33,'Low-price monthly forecast'!B34)</f>
        <v>0</v>
      </c>
      <c r="C30" s="10">
        <f>SUM('Low-price monthly forecast'!C31,'Low-price monthly forecast'!C32,'Low-price monthly forecast'!C33,'Low-price monthly forecast'!C34)</f>
        <v>0</v>
      </c>
      <c r="D30" s="10">
        <f>SUM('Low-price monthly forecast'!D31,'Low-price monthly forecast'!D32,'Low-price monthly forecast'!D33,'Low-price monthly forecast'!D34)</f>
        <v>0</v>
      </c>
      <c r="E30" s="10">
        <f>SUM('Low-price monthly forecast'!E31,'Low-price monthly forecast'!E32,'Low-price monthly forecast'!E33,'Low-price monthly forecast'!E34)</f>
        <v>0</v>
      </c>
      <c r="F30" s="10">
        <f>SUM('Low-price monthly forecast'!F31,'Low-price monthly forecast'!F32,'Low-price monthly forecast'!F33,'Low-price monthly forecast'!F34)</f>
        <v>0</v>
      </c>
      <c r="G30" s="10">
        <f>SUM('Low-price monthly forecast'!G31,'Low-price monthly forecast'!G32,'Low-price monthly forecast'!G33,'Low-price monthly forecast'!G34)</f>
        <v>0</v>
      </c>
      <c r="H30" s="10">
        <f>SUM('Low-price monthly forecast'!H31,'Low-price monthly forecast'!H32,'Low-price monthly forecast'!H33,'Low-price monthly forecast'!H34)</f>
        <v>0</v>
      </c>
      <c r="I30" s="10">
        <f>SUM('Low-price monthly forecast'!I31,'Low-price monthly forecast'!I32,'Low-price monthly forecast'!I33,'Low-price monthly forecast'!I34)</f>
        <v>0</v>
      </c>
      <c r="J30" s="10">
        <f>SUM('Low-price monthly forecast'!J31,'Low-price monthly forecast'!J32,'Low-price monthly forecast'!J33,'Low-price monthly forecast'!J34)</f>
        <v>0</v>
      </c>
      <c r="K30" s="10">
        <f>SUM('Low-price monthly forecast'!K31,'Low-price monthly forecast'!K32,'Low-price monthly forecast'!K33,'Low-price monthly forecast'!K34)</f>
        <v>0</v>
      </c>
      <c r="L30" s="10">
        <f>SUM('Low-price monthly forecast'!L31,'Low-price monthly forecast'!L32,'Low-price monthly forecast'!L33,'Low-price monthly forecast'!L34)</f>
        <v>0</v>
      </c>
      <c r="M30" s="10">
        <f>SUM('Low-price monthly forecast'!M31,'Low-price monthly forecast'!M32,'Low-price monthly forecast'!M33,'Low-price monthly forecast'!M34)</f>
        <v>0</v>
      </c>
      <c r="N30" s="10">
        <f>SUM('Low-price monthly forecast'!N31,'Low-price monthly forecast'!N32,'Low-price monthly forecast'!N33,'Low-price monthly forecast'!N34)</f>
        <v>0</v>
      </c>
      <c r="O30" s="10">
        <f>SUM('Low-price monthly forecast'!O31,'Low-price monthly forecast'!O32,'Low-price monthly forecast'!O33,'Low-price monthly forecast'!O34)</f>
        <v>0</v>
      </c>
      <c r="P30" s="10">
        <f>SUM('Low-price monthly forecast'!P31,'Low-price monthly forecast'!P32,'Low-price monthly forecast'!P33,'Low-price monthly forecast'!P34)</f>
        <v>0</v>
      </c>
      <c r="Q30" s="10">
        <f>SUM('Low-price monthly forecast'!Q31,'Low-price monthly forecast'!Q32,'Low-price monthly forecast'!Q33,'Low-price monthly forecast'!Q34)</f>
        <v>0</v>
      </c>
      <c r="R30" s="10">
        <f>SUM('Low-price monthly forecast'!R31,'Low-price monthly forecast'!R32,'Low-price monthly forecast'!R33,'Low-price monthly forecast'!R34)</f>
        <v>0</v>
      </c>
      <c r="S30" s="10">
        <f>SUM('Low-price monthly forecast'!S31,'Low-price monthly forecast'!S32,'Low-price monthly forecast'!S33,'Low-price monthly forecast'!S34)</f>
        <v>0</v>
      </c>
    </row>
    <row r="31" outlineLevel="1">
      <c r="A31" t="inlineStr" s="8">
        <is>
          <t xml:space="preserve">Business</t>
        </is>
      </c>
      <c r="B31" s="11">
        <f>'Low-price monthly forecast'!B21*'Model inputs'!B73</f>
        <v>0</v>
      </c>
      <c r="C31" s="11">
        <f>'Low-price monthly forecast'!C21*'Model inputs'!B73</f>
        <v>0</v>
      </c>
      <c r="D31" s="11">
        <f>'Low-price monthly forecast'!D21*'Model inputs'!B73</f>
        <v>0</v>
      </c>
      <c r="E31" s="11">
        <f>'Low-price monthly forecast'!E21*'Model inputs'!B73</f>
        <v>0</v>
      </c>
      <c r="F31" s="11">
        <f>'Low-price monthly forecast'!F21*'Model inputs'!B73</f>
        <v>0</v>
      </c>
      <c r="G31" s="11">
        <f>'Low-price monthly forecast'!G21*'Model inputs'!B73</f>
        <v>0</v>
      </c>
      <c r="H31" s="11">
        <f>'Low-price monthly forecast'!H21*'Model inputs'!B73</f>
        <v>0</v>
      </c>
      <c r="I31" s="11">
        <f>'Low-price monthly forecast'!I21*'Model inputs'!B73</f>
        <v>0</v>
      </c>
      <c r="J31" s="11">
        <f>'Low-price monthly forecast'!J21*'Model inputs'!B73</f>
        <v>0</v>
      </c>
      <c r="K31" s="11">
        <f>'Low-price monthly forecast'!K21*'Model inputs'!B73</f>
        <v>0</v>
      </c>
      <c r="L31" s="11">
        <f>'Low-price monthly forecast'!L21*'Model inputs'!B73</f>
        <v>0</v>
      </c>
      <c r="M31" s="11">
        <f>'Low-price monthly forecast'!M21*'Model inputs'!B73</f>
        <v>0</v>
      </c>
      <c r="N31" s="11">
        <f>'Low-price monthly forecast'!N21*'Model inputs'!B73</f>
        <v>0</v>
      </c>
      <c r="O31" s="11">
        <f>'Low-price monthly forecast'!O21*'Model inputs'!B73</f>
        <v>0</v>
      </c>
      <c r="P31" s="11">
        <f>'Low-price monthly forecast'!P21*'Model inputs'!B73</f>
        <v>0</v>
      </c>
      <c r="Q31" s="11">
        <f>'Low-price monthly forecast'!Q21*'Model inputs'!B73</f>
        <v>0</v>
      </c>
      <c r="R31" s="11">
        <f>'Low-price monthly forecast'!R21*'Model inputs'!B73</f>
        <v>0</v>
      </c>
      <c r="S31" s="11">
        <f>'Low-price monthly forecast'!S21*'Model inputs'!B73</f>
        <v>0</v>
      </c>
    </row>
    <row r="32" outlineLevel="1">
      <c r="A32" t="inlineStr" s="8">
        <is>
          <t xml:space="preserve">Community</t>
        </is>
      </c>
      <c r="B32" s="11">
        <f>'Low-price monthly forecast'!B22*'Model inputs'!B74</f>
        <v>0</v>
      </c>
      <c r="C32" s="11">
        <f>'Low-price monthly forecast'!C22*'Model inputs'!B74</f>
        <v>0</v>
      </c>
      <c r="D32" s="11">
        <f>'Low-price monthly forecast'!D22*'Model inputs'!B74</f>
        <v>0</v>
      </c>
      <c r="E32" s="11">
        <f>'Low-price monthly forecast'!E22*'Model inputs'!B74</f>
        <v>0</v>
      </c>
      <c r="F32" s="11">
        <f>'Low-price monthly forecast'!F22*'Model inputs'!B74</f>
        <v>0</v>
      </c>
      <c r="G32" s="11">
        <f>'Low-price monthly forecast'!G22*'Model inputs'!B74</f>
        <v>0</v>
      </c>
      <c r="H32" s="11">
        <f>'Low-price monthly forecast'!H22*'Model inputs'!B74</f>
        <v>0</v>
      </c>
      <c r="I32" s="11">
        <f>'Low-price monthly forecast'!I22*'Model inputs'!B74</f>
        <v>0</v>
      </c>
      <c r="J32" s="11">
        <f>'Low-price monthly forecast'!J22*'Model inputs'!B74</f>
        <v>0</v>
      </c>
      <c r="K32" s="11">
        <f>'Low-price monthly forecast'!K22*'Model inputs'!B74</f>
        <v>0</v>
      </c>
      <c r="L32" s="11">
        <f>'Low-price monthly forecast'!L22*'Model inputs'!B74</f>
        <v>0</v>
      </c>
      <c r="M32" s="11">
        <f>'Low-price monthly forecast'!M22*'Model inputs'!B74</f>
        <v>0</v>
      </c>
      <c r="N32" s="11">
        <f>'Low-price monthly forecast'!N22*'Model inputs'!B74</f>
        <v>0</v>
      </c>
      <c r="O32" s="11">
        <f>'Low-price monthly forecast'!O22*'Model inputs'!B74</f>
        <v>0</v>
      </c>
      <c r="P32" s="11">
        <f>'Low-price monthly forecast'!P22*'Model inputs'!B74</f>
        <v>0</v>
      </c>
      <c r="Q32" s="11">
        <f>'Low-price monthly forecast'!Q22*'Model inputs'!B74</f>
        <v>0</v>
      </c>
      <c r="R32" s="11">
        <f>'Low-price monthly forecast'!R22*'Model inputs'!B74</f>
        <v>0</v>
      </c>
      <c r="S32" s="11">
        <f>'Low-price monthly forecast'!S22*'Model inputs'!B74</f>
        <v>0</v>
      </c>
    </row>
    <row r="33" outlineLevel="1">
      <c r="A33" t="inlineStr" s="8">
        <is>
          <t xml:space="preserve">Starter</t>
        </is>
      </c>
      <c r="B33" s="11">
        <f>'Low-price monthly forecast'!B23*'Model inputs'!B75</f>
        <v>0</v>
      </c>
      <c r="C33" s="11">
        <f>'Low-price monthly forecast'!C23*'Model inputs'!B75</f>
        <v>0</v>
      </c>
      <c r="D33" s="11">
        <f>'Low-price monthly forecast'!D23*'Model inputs'!B75</f>
        <v>0</v>
      </c>
      <c r="E33" s="11">
        <f>'Low-price monthly forecast'!E23*'Model inputs'!B75</f>
        <v>0</v>
      </c>
      <c r="F33" s="11">
        <f>'Low-price monthly forecast'!F23*'Model inputs'!B75</f>
        <v>0</v>
      </c>
      <c r="G33" s="11">
        <f>'Low-price monthly forecast'!G23*'Model inputs'!B75</f>
        <v>0</v>
      </c>
      <c r="H33" s="11">
        <f>'Low-price monthly forecast'!H23*'Model inputs'!B75</f>
        <v>0</v>
      </c>
      <c r="I33" s="11">
        <f>'Low-price monthly forecast'!I23*'Model inputs'!B75</f>
        <v>0</v>
      </c>
      <c r="J33" s="11">
        <f>'Low-price monthly forecast'!J23*'Model inputs'!B75</f>
        <v>0</v>
      </c>
      <c r="K33" s="11">
        <f>'Low-price monthly forecast'!K23*'Model inputs'!B75</f>
        <v>0</v>
      </c>
      <c r="L33" s="11">
        <f>'Low-price monthly forecast'!L23*'Model inputs'!B75</f>
        <v>0</v>
      </c>
      <c r="M33" s="11">
        <f>'Low-price monthly forecast'!M23*'Model inputs'!B75</f>
        <v>0</v>
      </c>
      <c r="N33" s="11">
        <f>'Low-price monthly forecast'!N23*'Model inputs'!B75</f>
        <v>0</v>
      </c>
      <c r="O33" s="11">
        <f>'Low-price monthly forecast'!O23*'Model inputs'!B75</f>
        <v>0</v>
      </c>
      <c r="P33" s="11">
        <f>'Low-price monthly forecast'!P23*'Model inputs'!B75</f>
        <v>0</v>
      </c>
      <c r="Q33" s="11">
        <f>'Low-price monthly forecast'!Q23*'Model inputs'!B75</f>
        <v>0</v>
      </c>
      <c r="R33" s="11">
        <f>'Low-price monthly forecast'!R23*'Model inputs'!B75</f>
        <v>0</v>
      </c>
      <c r="S33" s="11">
        <f>'Low-price monthly forecast'!S23*'Model inputs'!B75</f>
        <v>0</v>
      </c>
    </row>
    <row r="34" outlineLevel="1">
      <c r="A34" t="inlineStr" s="8">
        <is>
          <t xml:space="preserve">Team</t>
        </is>
      </c>
      <c r="B34" s="11">
        <f>'Low-price monthly forecast'!B24*'Model inputs'!B76</f>
        <v>0</v>
      </c>
      <c r="C34" s="11">
        <f>'Low-price monthly forecast'!C24*'Model inputs'!B76</f>
        <v>0</v>
      </c>
      <c r="D34" s="11">
        <f>'Low-price monthly forecast'!D24*'Model inputs'!B76</f>
        <v>0</v>
      </c>
      <c r="E34" s="11">
        <f>'Low-price monthly forecast'!E24*'Model inputs'!B76</f>
        <v>0</v>
      </c>
      <c r="F34" s="11">
        <f>'Low-price monthly forecast'!F24*'Model inputs'!B76</f>
        <v>0</v>
      </c>
      <c r="G34" s="11">
        <f>'Low-price monthly forecast'!G24*'Model inputs'!B76</f>
        <v>0</v>
      </c>
      <c r="H34" s="11">
        <f>'Low-price monthly forecast'!H24*'Model inputs'!B76</f>
        <v>0</v>
      </c>
      <c r="I34" s="11">
        <f>'Low-price monthly forecast'!I24*'Model inputs'!B76</f>
        <v>0</v>
      </c>
      <c r="J34" s="11">
        <f>'Low-price monthly forecast'!J24*'Model inputs'!B76</f>
        <v>0</v>
      </c>
      <c r="K34" s="11">
        <f>'Low-price monthly forecast'!K24*'Model inputs'!B76</f>
        <v>0</v>
      </c>
      <c r="L34" s="11">
        <f>'Low-price monthly forecast'!L24*'Model inputs'!B76</f>
        <v>0</v>
      </c>
      <c r="M34" s="11">
        <f>'Low-price monthly forecast'!M24*'Model inputs'!B76</f>
        <v>0</v>
      </c>
      <c r="N34" s="11">
        <f>'Low-price monthly forecast'!N24*'Model inputs'!B76</f>
        <v>0</v>
      </c>
      <c r="O34" s="11">
        <f>'Low-price monthly forecast'!O24*'Model inputs'!B76</f>
        <v>0</v>
      </c>
      <c r="P34" s="11">
        <f>'Low-price monthly forecast'!P24*'Model inputs'!B76</f>
        <v>0</v>
      </c>
      <c r="Q34" s="11">
        <f>'Low-price monthly forecast'!Q24*'Model inputs'!B76</f>
        <v>0</v>
      </c>
      <c r="R34" s="11">
        <f>'Low-price monthly forecast'!R24*'Model inputs'!B76</f>
        <v>0</v>
      </c>
      <c r="S34" s="11">
        <f>'Low-price monthly forecast'!S24*'Model inputs'!B76</f>
        <v>0</v>
      </c>
    </row>
    <row r="35">
      <c r="A35" t="inlineStr" s="6">
        <is>
          <t xml:space="preserve">NW Revenue</t>
        </is>
      </c>
      <c r="B35" s="10">
        <f>SUM('Low-price monthly forecast'!B36,'Low-price monthly forecast'!B37,'Low-price monthly forecast'!B38,'Low-price monthly forecast'!B39)</f>
        <v>1154</v>
      </c>
      <c r="C35" s="10">
        <f>SUM('Low-price monthly forecast'!C36,'Low-price monthly forecast'!C37,'Low-price monthly forecast'!C38,'Low-price monthly forecast'!C39)</f>
        <v>2261.84</v>
      </c>
      <c r="D35" s="10">
        <f>SUM('Low-price monthly forecast'!D36,'Low-price monthly forecast'!D37,'Low-price monthly forecast'!D38,'Low-price monthly forecast'!D39)</f>
        <v>3325.3664</v>
      </c>
      <c r="E35" s="10">
        <f>SUM('Low-price monthly forecast'!E36,'Low-price monthly forecast'!E37,'Low-price monthly forecast'!E38,'Low-price monthly forecast'!E39)</f>
        <v>4346.3517440000005</v>
      </c>
      <c r="F35" s="10">
        <f>SUM('Low-price monthly forecast'!F36,'Low-price monthly forecast'!F37,'Low-price monthly forecast'!F38,'Low-price monthly forecast'!F39)</f>
        <v>5326.49767424</v>
      </c>
      <c r="G35" s="10">
        <f>SUM('Low-price monthly forecast'!G36,'Low-price monthly forecast'!G37,'Low-price monthly forecast'!G38,'Low-price monthly forecast'!G39)</f>
        <v>6267.4377672704</v>
      </c>
      <c r="H35" s="10">
        <f>SUM('Low-price monthly forecast'!H36,'Low-price monthly forecast'!H37,'Low-price monthly forecast'!H38,'Low-price monthly forecast'!H39)</f>
        <v>7170.740256579585</v>
      </c>
      <c r="I35" s="10">
        <f>SUM('Low-price monthly forecast'!I36,'Low-price monthly forecast'!I37,'Low-price monthly forecast'!I38,'Low-price monthly forecast'!I39)</f>
        <v>8037.910646316402</v>
      </c>
      <c r="J35" s="10">
        <f>SUM('Low-price monthly forecast'!J36,'Low-price monthly forecast'!J37,'Low-price monthly forecast'!J38,'Low-price monthly forecast'!J39)</f>
        <v>8870.394220463746</v>
      </c>
      <c r="K35" s="10">
        <f>SUM('Low-price monthly forecast'!K36,'Low-price monthly forecast'!K37,'Low-price monthly forecast'!K38,'Low-price monthly forecast'!K39)</f>
        <v>9669.578451645195</v>
      </c>
      <c r="L35" s="10">
        <f>SUM('Low-price monthly forecast'!L36,'Low-price monthly forecast'!L37,'Low-price monthly forecast'!L38,'Low-price monthly forecast'!L39)</f>
        <v>10436.795313579387</v>
      </c>
      <c r="M35" s="10">
        <f>SUM('Low-price monthly forecast'!M36,'Low-price monthly forecast'!M37,'Low-price monthly forecast'!M38,'Low-price monthly forecast'!M39)</f>
        <v>11173.323501036211</v>
      </c>
      <c r="N35" s="10">
        <f>SUM('Low-price monthly forecast'!N36,'Low-price monthly forecast'!N37,'Low-price monthly forecast'!N38,'Low-price monthly forecast'!N39)</f>
        <v>11880.390560994761</v>
      </c>
      <c r="O35" s="10">
        <f>SUM('Low-price monthly forecast'!O36,'Low-price monthly forecast'!O37,'Low-price monthly forecast'!O38,'Low-price monthly forecast'!O39)</f>
        <v>12559.174938554972</v>
      </c>
      <c r="P35" s="10">
        <f>SUM('Low-price monthly forecast'!P36,'Low-price monthly forecast'!P37,'Low-price monthly forecast'!P38,'Low-price monthly forecast'!P39)</f>
        <v>13210.807941012772</v>
      </c>
      <c r="Q35" s="10">
        <f>SUM('Low-price monthly forecast'!Q36,'Low-price monthly forecast'!Q37,'Low-price monthly forecast'!Q38,'Low-price monthly forecast'!Q39)</f>
        <v>13836.375623372262</v>
      </c>
      <c r="R35" s="10">
        <f>SUM('Low-price monthly forecast'!R36,'Low-price monthly forecast'!R37,'Low-price monthly forecast'!R38,'Low-price monthly forecast'!R39)</f>
        <v>14436.92059843737</v>
      </c>
      <c r="S35" s="10">
        <f>SUM('Low-price monthly forecast'!S36,'Low-price monthly forecast'!S37,'Low-price monthly forecast'!S38,'Low-price monthly forecast'!S39)</f>
        <v>15013.443774499876</v>
      </c>
    </row>
    <row r="36" outlineLevel="1">
      <c r="A36" t="inlineStr" s="8">
        <is>
          <t xml:space="preserve">Business</t>
        </is>
      </c>
      <c r="B36" s="11">
        <f>'Low-price monthly forecast'!B21*'Model inputs'!B86</f>
        <v>624</v>
      </c>
      <c r="C36" s="11">
        <f>'Low-price monthly forecast'!C21*'Model inputs'!B86</f>
        <v>1223.04</v>
      </c>
      <c r="D36" s="11">
        <f>'Low-price monthly forecast'!D21*'Model inputs'!B86</f>
        <v>1798.1184</v>
      </c>
      <c r="E36" s="11">
        <f>'Low-price monthly forecast'!E21*'Model inputs'!B86</f>
        <v>2350.1936640000004</v>
      </c>
      <c r="F36" s="11">
        <f>'Low-price monthly forecast'!F21*'Model inputs'!B86</f>
        <v>2880.1859174400006</v>
      </c>
      <c r="G36" s="11">
        <f>'Low-price monthly forecast'!G21*'Model inputs'!B86</f>
        <v>3388.9784807424003</v>
      </c>
      <c r="H36" s="11">
        <f>'Low-price monthly forecast'!H21*'Model inputs'!B86</f>
        <v>3877.4193415127047</v>
      </c>
      <c r="I36" s="11">
        <f>'Low-price monthly forecast'!I21*'Model inputs'!B86</f>
        <v>4346.322567852197</v>
      </c>
      <c r="J36" s="11">
        <f>'Low-price monthly forecast'!J21*'Model inputs'!B86</f>
        <v>4796.469665138108</v>
      </c>
      <c r="K36" s="11">
        <f>'Low-price monthly forecast'!K21*'Model inputs'!B86</f>
        <v>5228.610878532583</v>
      </c>
      <c r="L36" s="11">
        <f>'Low-price monthly forecast'!L21*'Model inputs'!B86</f>
        <v>5643.46644339128</v>
      </c>
      <c r="M36" s="11">
        <f>'Low-price monthly forecast'!M21*'Model inputs'!B86</f>
        <v>6041.727785655629</v>
      </c>
      <c r="N36" s="11">
        <f>'Low-price monthly forecast'!N21*'Model inputs'!B86</f>
        <v>6424.058674229404</v>
      </c>
      <c r="O36" s="11">
        <f>'Low-price monthly forecast'!O21*'Model inputs'!B86</f>
        <v>6791.096327260228</v>
      </c>
      <c r="P36" s="11">
        <f>'Low-price monthly forecast'!P21*'Model inputs'!B86</f>
        <v>7143.452474169819</v>
      </c>
      <c r="Q36" s="11">
        <f>'Low-price monthly forecast'!Q21*'Model inputs'!B86</f>
        <v>7481.714375203025</v>
      </c>
      <c r="R36" s="11">
        <f>'Low-price monthly forecast'!R21*'Model inputs'!B86</f>
        <v>7806.445800194904</v>
      </c>
      <c r="S36" s="11">
        <f>'Low-price monthly forecast'!S21*'Model inputs'!B86</f>
        <v>8118.187968187108</v>
      </c>
    </row>
    <row r="37" outlineLevel="1">
      <c r="A37" t="inlineStr" s="8">
        <is>
          <t xml:space="preserve">Community</t>
        </is>
      </c>
      <c r="B37" s="11">
        <f>'Low-price monthly forecast'!B22*'Model inputs'!B87</f>
        <v>0</v>
      </c>
      <c r="C37" s="11">
        <f>'Low-price monthly forecast'!C22*'Model inputs'!B87</f>
        <v>0</v>
      </c>
      <c r="D37" s="11">
        <f>'Low-price monthly forecast'!D22*'Model inputs'!B87</f>
        <v>0</v>
      </c>
      <c r="E37" s="11">
        <f>'Low-price monthly forecast'!E22*'Model inputs'!B87</f>
        <v>0</v>
      </c>
      <c r="F37" s="11">
        <f>'Low-price monthly forecast'!F22*'Model inputs'!B87</f>
        <v>0</v>
      </c>
      <c r="G37" s="11">
        <f>'Low-price monthly forecast'!G22*'Model inputs'!B87</f>
        <v>0</v>
      </c>
      <c r="H37" s="11">
        <f>'Low-price monthly forecast'!H22*'Model inputs'!B87</f>
        <v>0</v>
      </c>
      <c r="I37" s="11">
        <f>'Low-price monthly forecast'!I22*'Model inputs'!B87</f>
        <v>0</v>
      </c>
      <c r="J37" s="11">
        <f>'Low-price monthly forecast'!J22*'Model inputs'!B87</f>
        <v>0</v>
      </c>
      <c r="K37" s="11">
        <f>'Low-price monthly forecast'!K22*'Model inputs'!B87</f>
        <v>0</v>
      </c>
      <c r="L37" s="11">
        <f>'Low-price monthly forecast'!L22*'Model inputs'!B87</f>
        <v>0</v>
      </c>
      <c r="M37" s="11">
        <f>'Low-price monthly forecast'!M22*'Model inputs'!B87</f>
        <v>0</v>
      </c>
      <c r="N37" s="11">
        <f>'Low-price monthly forecast'!N22*'Model inputs'!B87</f>
        <v>0</v>
      </c>
      <c r="O37" s="11">
        <f>'Low-price monthly forecast'!O22*'Model inputs'!B87</f>
        <v>0</v>
      </c>
      <c r="P37" s="11">
        <f>'Low-price monthly forecast'!P22*'Model inputs'!B87</f>
        <v>0</v>
      </c>
      <c r="Q37" s="11">
        <f>'Low-price monthly forecast'!Q22*'Model inputs'!B87</f>
        <v>0</v>
      </c>
      <c r="R37" s="11">
        <f>'Low-price monthly forecast'!R22*'Model inputs'!B87</f>
        <v>0</v>
      </c>
      <c r="S37" s="11">
        <f>'Low-price monthly forecast'!S22*'Model inputs'!B87</f>
        <v>0</v>
      </c>
    </row>
    <row r="38" outlineLevel="1">
      <c r="A38" t="inlineStr" s="8">
        <is>
          <t xml:space="preserve">Starter</t>
        </is>
      </c>
      <c r="B38" s="11">
        <f>'Low-price monthly forecast'!B23*'Model inputs'!B88</f>
        <v>110</v>
      </c>
      <c r="C38" s="11">
        <f>'Low-price monthly forecast'!C23*'Model inputs'!B88</f>
        <v>215.6</v>
      </c>
      <c r="D38" s="11">
        <f>'Low-price monthly forecast'!D23*'Model inputs'!B88</f>
        <v>316.976</v>
      </c>
      <c r="E38" s="11">
        <f>'Low-price monthly forecast'!E23*'Model inputs'!B88</f>
        <v>414.29696</v>
      </c>
      <c r="F38" s="11">
        <f>'Low-price monthly forecast'!F23*'Model inputs'!B88</f>
        <v>507.7250816</v>
      </c>
      <c r="G38" s="11">
        <f>'Low-price monthly forecast'!G23*'Model inputs'!B88</f>
        <v>597.416078336</v>
      </c>
      <c r="H38" s="11">
        <f>'Low-price monthly forecast'!H23*'Model inputs'!B88</f>
        <v>683.51943520256</v>
      </c>
      <c r="I38" s="11">
        <f>'Low-price monthly forecast'!I23*'Model inputs'!B88</f>
        <v>766.1786577944576</v>
      </c>
      <c r="J38" s="11">
        <f>'Low-price monthly forecast'!J23*'Model inputs'!B88</f>
        <v>845.5315114826793</v>
      </c>
      <c r="K38" s="11">
        <f>'Low-price monthly forecast'!K23*'Model inputs'!B88</f>
        <v>921.7102510233722</v>
      </c>
      <c r="L38" s="11">
        <f>'Low-price monthly forecast'!L23*'Model inputs'!B88</f>
        <v>994.8418409824371</v>
      </c>
      <c r="M38" s="11">
        <f>'Low-price monthly forecast'!M23*'Model inputs'!B88</f>
        <v>1065.0481673431395</v>
      </c>
      <c r="N38" s="11">
        <f>'Low-price monthly forecast'!N23*'Model inputs'!B88</f>
        <v>1132.446240649414</v>
      </c>
      <c r="O38" s="11">
        <f>'Low-price monthly forecast'!O23*'Model inputs'!B88</f>
        <v>1197.1483910234374</v>
      </c>
      <c r="P38" s="11">
        <f>'Low-price monthly forecast'!P23*'Model inputs'!B88</f>
        <v>1259.2624553825</v>
      </c>
      <c r="Q38" s="11">
        <f>'Low-price monthly forecast'!Q23*'Model inputs'!B88</f>
        <v>1318.8919571672</v>
      </c>
      <c r="R38" s="11">
        <f>'Low-price monthly forecast'!R23*'Model inputs'!B88</f>
        <v>1376.1362788805118</v>
      </c>
      <c r="S38" s="11">
        <f>'Low-price monthly forecast'!S23*'Model inputs'!B88</f>
        <v>1431.0908277252915</v>
      </c>
    </row>
    <row r="39" outlineLevel="1">
      <c r="A39" t="inlineStr" s="8">
        <is>
          <t xml:space="preserve">Team</t>
        </is>
      </c>
      <c r="B39" s="11">
        <f>'Low-price monthly forecast'!B24*'Model inputs'!B89</f>
        <v>420</v>
      </c>
      <c r="C39" s="11">
        <f>'Low-price monthly forecast'!C24*'Model inputs'!B89</f>
        <v>823.2</v>
      </c>
      <c r="D39" s="11">
        <f>'Low-price monthly forecast'!D24*'Model inputs'!B89</f>
        <v>1210.272</v>
      </c>
      <c r="E39" s="11">
        <f>'Low-price monthly forecast'!E24*'Model inputs'!B89</f>
        <v>1581.86112</v>
      </c>
      <c r="F39" s="11">
        <f>'Low-price monthly forecast'!F24*'Model inputs'!B89</f>
        <v>1938.5866751999997</v>
      </c>
      <c r="G39" s="11">
        <f>'Low-price monthly forecast'!G24*'Model inputs'!B89</f>
        <v>2281.043208192</v>
      </c>
      <c r="H39" s="11">
        <f>'Low-price monthly forecast'!H24*'Model inputs'!B89</f>
        <v>2609.80147986432</v>
      </c>
      <c r="I39" s="11">
        <f>'Low-price monthly forecast'!I24*'Model inputs'!B89</f>
        <v>2925.4094206697473</v>
      </c>
      <c r="J39" s="11">
        <f>'Low-price monthly forecast'!J24*'Model inputs'!B89</f>
        <v>3228.3930438429575</v>
      </c>
      <c r="K39" s="11">
        <f>'Low-price monthly forecast'!K24*'Model inputs'!B89</f>
        <v>3519.257322089239</v>
      </c>
      <c r="L39" s="11">
        <f>'Low-price monthly forecast'!L24*'Model inputs'!B89</f>
        <v>3798.4870292056694</v>
      </c>
      <c r="M39" s="11">
        <f>'Low-price monthly forecast'!M24*'Model inputs'!B89</f>
        <v>4066.547548037442</v>
      </c>
      <c r="N39" s="11">
        <f>'Low-price monthly forecast'!N24*'Model inputs'!B89</f>
        <v>4323.885646115944</v>
      </c>
      <c r="O39" s="11">
        <f>'Low-price monthly forecast'!O24*'Model inputs'!B89</f>
        <v>4570.930220271307</v>
      </c>
      <c r="P39" s="11">
        <f>'Low-price monthly forecast'!P24*'Model inputs'!B89</f>
        <v>4808.093011460454</v>
      </c>
      <c r="Q39" s="11">
        <f>'Low-price monthly forecast'!Q24*'Model inputs'!B89</f>
        <v>5035.769291002036</v>
      </c>
      <c r="R39" s="11">
        <f>'Low-price monthly forecast'!R24*'Model inputs'!B89</f>
        <v>5254.338519361954</v>
      </c>
      <c r="S39" s="11">
        <f>'Low-price monthly forecast'!S24*'Model inputs'!B89</f>
        <v>5464.164978587477</v>
      </c>
    </row>
    <row r="40">
      <c r="A40" t="inlineStr" s="6">
        <is>
          <t xml:space="preserve">NW Model delivery cost</t>
        </is>
      </c>
      <c r="B40" s="10">
        <f>SUM('Low-price monthly forecast'!B41,'Low-price monthly forecast'!B42,'Low-price monthly forecast'!B43,'Low-price monthly forecast'!B44)</f>
        <v>139.2</v>
      </c>
      <c r="C40" s="10">
        <f>SUM('Low-price monthly forecast'!C41,'Low-price monthly forecast'!C42,'Low-price monthly forecast'!C43,'Low-price monthly forecast'!C44)</f>
        <v>272.832</v>
      </c>
      <c r="D40" s="10">
        <f>SUM('Low-price monthly forecast'!D41,'Low-price monthly forecast'!D42,'Low-price monthly forecast'!D43,'Low-price monthly forecast'!D44)</f>
        <v>401.11872</v>
      </c>
      <c r="E40" s="10">
        <f>SUM('Low-price monthly forecast'!E41,'Low-price monthly forecast'!E42,'Low-price monthly forecast'!E43,'Low-price monthly forecast'!E44)</f>
        <v>524.2739712</v>
      </c>
      <c r="F40" s="10">
        <f>SUM('Low-price monthly forecast'!F41,'Low-price monthly forecast'!F42,'Low-price monthly forecast'!F43,'Low-price monthly forecast'!F44)</f>
        <v>642.503012352</v>
      </c>
      <c r="G40" s="10">
        <f>SUM('Low-price monthly forecast'!G41,'Low-price monthly forecast'!G42,'Low-price monthly forecast'!G43,'Low-price monthly forecast'!G44)</f>
        <v>756.0028918579201</v>
      </c>
      <c r="H40" s="10">
        <f>SUM('Low-price monthly forecast'!H41,'Low-price monthly forecast'!H42,'Low-price monthly forecast'!H43,'Low-price monthly forecast'!H44)</f>
        <v>864.9627761836032</v>
      </c>
      <c r="I40" s="10">
        <f>SUM('Low-price monthly forecast'!I41,'Low-price monthly forecast'!I42,'Low-price monthly forecast'!I43,'Low-price monthly forecast'!I44)</f>
        <v>969.5642651362591</v>
      </c>
      <c r="J40" s="10">
        <f>SUM('Low-price monthly forecast'!J41,'Low-price monthly forecast'!J42,'Low-price monthly forecast'!J43,'Low-price monthly forecast'!J44)</f>
        <v>1069.981694530809</v>
      </c>
      <c r="K40" s="10">
        <f>SUM('Low-price monthly forecast'!K41,'Low-price monthly forecast'!K42,'Low-price monthly forecast'!K43,'Low-price monthly forecast'!K44)</f>
        <v>1166.3824267495763</v>
      </c>
      <c r="L40" s="10">
        <f>SUM('Low-price monthly forecast'!L41,'Low-price monthly forecast'!L42,'Low-price monthly forecast'!L43,'Low-price monthly forecast'!L44)</f>
        <v>1258.9271296795932</v>
      </c>
      <c r="M40" s="10">
        <f>SUM('Low-price monthly forecast'!M41,'Low-price monthly forecast'!M42,'Low-price monthly forecast'!M43,'Low-price monthly forecast'!M44)</f>
        <v>1347.7700444924094</v>
      </c>
      <c r="N40" s="10">
        <f>SUM('Low-price monthly forecast'!N41,'Low-price monthly forecast'!N42,'Low-price monthly forecast'!N43,'Low-price monthly forecast'!N44)</f>
        <v>1433.059242712713</v>
      </c>
      <c r="O40" s="10">
        <f>SUM('Low-price monthly forecast'!O41,'Low-price monthly forecast'!O42,'Low-price monthly forecast'!O43,'Low-price monthly forecast'!O44)</f>
        <v>1514.9368730042047</v>
      </c>
      <c r="P40" s="10">
        <f>SUM('Low-price monthly forecast'!P41,'Low-price monthly forecast'!P42,'Low-price monthly forecast'!P43,'Low-price monthly forecast'!P44)</f>
        <v>1593.5393980840363</v>
      </c>
      <c r="Q40" s="10">
        <f>SUM('Low-price monthly forecast'!Q41,'Low-price monthly forecast'!Q42,'Low-price monthly forecast'!Q43,'Low-price monthly forecast'!Q44)</f>
        <v>1668.9978221606748</v>
      </c>
      <c r="R40" s="10">
        <f>SUM('Low-price monthly forecast'!R41,'Low-price monthly forecast'!R42,'Low-price monthly forecast'!R43,'Low-price monthly forecast'!R44)</f>
        <v>1741.4379092742479</v>
      </c>
      <c r="S40" s="10">
        <f>SUM('Low-price monthly forecast'!S41,'Low-price monthly forecast'!S42,'Low-price monthly forecast'!S43,'Low-price monthly forecast'!S44)</f>
        <v>1810.9803929032778</v>
      </c>
    </row>
    <row r="41" outlineLevel="1">
      <c r="A41" t="inlineStr" s="8">
        <is>
          <t xml:space="preserve">Business</t>
        </is>
      </c>
      <c r="B41" s="11">
        <f>'Low-price monthly forecast'!B21*'Model inputs'!B55</f>
        <v>72</v>
      </c>
      <c r="C41" s="11">
        <f>'Low-price monthly forecast'!C21*'Model inputs'!B55</f>
        <v>141.12</v>
      </c>
      <c r="D41" s="11">
        <f>'Low-price monthly forecast'!D21*'Model inputs'!B55</f>
        <v>207.4752</v>
      </c>
      <c r="E41" s="11">
        <f>'Low-price monthly forecast'!E21*'Model inputs'!B55</f>
        <v>271.176192</v>
      </c>
      <c r="F41" s="11">
        <f>'Low-price monthly forecast'!F21*'Model inputs'!B55</f>
        <v>332.32914432000007</v>
      </c>
      <c r="G41" s="11">
        <f>'Low-price monthly forecast'!G21*'Model inputs'!B55</f>
        <v>391.03597854720005</v>
      </c>
      <c r="H41" s="11">
        <f>'Low-price monthly forecast'!H21*'Model inputs'!B55</f>
        <v>447.39453940531206</v>
      </c>
      <c r="I41" s="11">
        <f>'Low-price monthly forecast'!I21*'Model inputs'!B55</f>
        <v>501.4987578290996</v>
      </c>
      <c r="J41" s="11">
        <f>'Low-price monthly forecast'!J21*'Model inputs'!B55</f>
        <v>553.4388075159357</v>
      </c>
      <c r="K41" s="11">
        <f>'Low-price monthly forecast'!K21*'Model inputs'!B55</f>
        <v>603.301255215298</v>
      </c>
      <c r="L41" s="11">
        <f>'Low-price monthly forecast'!L21*'Model inputs'!B55</f>
        <v>651.1692050066862</v>
      </c>
      <c r="M41" s="11">
        <f>'Low-price monthly forecast'!M21*'Model inputs'!B55</f>
        <v>697.1224368064187</v>
      </c>
      <c r="N41" s="11">
        <f>'Low-price monthly forecast'!N21*'Model inputs'!B55</f>
        <v>741.237539334162</v>
      </c>
      <c r="O41" s="11">
        <f>'Low-price monthly forecast'!O21*'Model inputs'!B55</f>
        <v>783.5880377607955</v>
      </c>
      <c r="P41" s="11">
        <f>'Low-price monthly forecast'!P21*'Model inputs'!B55</f>
        <v>824.2445162503636</v>
      </c>
      <c r="Q41" s="11">
        <f>'Low-price monthly forecast'!Q21*'Model inputs'!B55</f>
        <v>863.2747356003491</v>
      </c>
      <c r="R41" s="11">
        <f>'Low-price monthly forecast'!R21*'Model inputs'!B55</f>
        <v>900.7437461763351</v>
      </c>
      <c r="S41" s="11">
        <f>'Low-price monthly forecast'!S21*'Model inputs'!B55</f>
        <v>936.7139963292816</v>
      </c>
    </row>
    <row r="42" outlineLevel="1">
      <c r="A42" t="inlineStr" s="8">
        <is>
          <t xml:space="preserve">Community</t>
        </is>
      </c>
      <c r="B42" s="11">
        <f>'Low-price monthly forecast'!B22*'Model inputs'!B56</f>
        <v>0</v>
      </c>
      <c r="C42" s="11">
        <f>'Low-price monthly forecast'!C22*'Model inputs'!B56</f>
        <v>0</v>
      </c>
      <c r="D42" s="11">
        <f>'Low-price monthly forecast'!D22*'Model inputs'!B56</f>
        <v>0</v>
      </c>
      <c r="E42" s="11">
        <f>'Low-price monthly forecast'!E22*'Model inputs'!B56</f>
        <v>0</v>
      </c>
      <c r="F42" s="11">
        <f>'Low-price monthly forecast'!F22*'Model inputs'!B56</f>
        <v>0</v>
      </c>
      <c r="G42" s="11">
        <f>'Low-price monthly forecast'!G22*'Model inputs'!B56</f>
        <v>0</v>
      </c>
      <c r="H42" s="11">
        <f>'Low-price monthly forecast'!H22*'Model inputs'!B56</f>
        <v>0</v>
      </c>
      <c r="I42" s="11">
        <f>'Low-price monthly forecast'!I22*'Model inputs'!B56</f>
        <v>0</v>
      </c>
      <c r="J42" s="11">
        <f>'Low-price monthly forecast'!J22*'Model inputs'!B56</f>
        <v>0</v>
      </c>
      <c r="K42" s="11">
        <f>'Low-price monthly forecast'!K22*'Model inputs'!B56</f>
        <v>0</v>
      </c>
      <c r="L42" s="11">
        <f>'Low-price monthly forecast'!L22*'Model inputs'!B56</f>
        <v>0</v>
      </c>
      <c r="M42" s="11">
        <f>'Low-price monthly forecast'!M22*'Model inputs'!B56</f>
        <v>0</v>
      </c>
      <c r="N42" s="11">
        <f>'Low-price monthly forecast'!N22*'Model inputs'!B56</f>
        <v>0</v>
      </c>
      <c r="O42" s="11">
        <f>'Low-price monthly forecast'!O22*'Model inputs'!B56</f>
        <v>0</v>
      </c>
      <c r="P42" s="11">
        <f>'Low-price monthly forecast'!P22*'Model inputs'!B56</f>
        <v>0</v>
      </c>
      <c r="Q42" s="11">
        <f>'Low-price monthly forecast'!Q22*'Model inputs'!B56</f>
        <v>0</v>
      </c>
      <c r="R42" s="11">
        <f>'Low-price monthly forecast'!R22*'Model inputs'!B56</f>
        <v>0</v>
      </c>
      <c r="S42" s="11">
        <f>'Low-price monthly forecast'!S22*'Model inputs'!B56</f>
        <v>0</v>
      </c>
    </row>
    <row r="43" outlineLevel="1">
      <c r="A43" t="inlineStr" s="8">
        <is>
          <t xml:space="preserve">Starter</t>
        </is>
      </c>
      <c r="B43" s="11">
        <f>'Low-price monthly forecast'!B23*'Model inputs'!B57</f>
        <v>0</v>
      </c>
      <c r="C43" s="11">
        <f>'Low-price monthly forecast'!C23*'Model inputs'!B57</f>
        <v>0</v>
      </c>
      <c r="D43" s="11">
        <f>'Low-price monthly forecast'!D23*'Model inputs'!B57</f>
        <v>0</v>
      </c>
      <c r="E43" s="11">
        <f>'Low-price monthly forecast'!E23*'Model inputs'!B57</f>
        <v>0</v>
      </c>
      <c r="F43" s="11">
        <f>'Low-price monthly forecast'!F23*'Model inputs'!B57</f>
        <v>0</v>
      </c>
      <c r="G43" s="11">
        <f>'Low-price monthly forecast'!G23*'Model inputs'!B57</f>
        <v>0</v>
      </c>
      <c r="H43" s="11">
        <f>'Low-price monthly forecast'!H23*'Model inputs'!B57</f>
        <v>0</v>
      </c>
      <c r="I43" s="11">
        <f>'Low-price monthly forecast'!I23*'Model inputs'!B57</f>
        <v>0</v>
      </c>
      <c r="J43" s="11">
        <f>'Low-price monthly forecast'!J23*'Model inputs'!B57</f>
        <v>0</v>
      </c>
      <c r="K43" s="11">
        <f>'Low-price monthly forecast'!K23*'Model inputs'!B57</f>
        <v>0</v>
      </c>
      <c r="L43" s="11">
        <f>'Low-price monthly forecast'!L23*'Model inputs'!B57</f>
        <v>0</v>
      </c>
      <c r="M43" s="11">
        <f>'Low-price monthly forecast'!M23*'Model inputs'!B57</f>
        <v>0</v>
      </c>
      <c r="N43" s="11">
        <f>'Low-price monthly forecast'!N23*'Model inputs'!B57</f>
        <v>0</v>
      </c>
      <c r="O43" s="11">
        <f>'Low-price monthly forecast'!O23*'Model inputs'!B57</f>
        <v>0</v>
      </c>
      <c r="P43" s="11">
        <f>'Low-price monthly forecast'!P23*'Model inputs'!B57</f>
        <v>0</v>
      </c>
      <c r="Q43" s="11">
        <f>'Low-price monthly forecast'!Q23*'Model inputs'!B57</f>
        <v>0</v>
      </c>
      <c r="R43" s="11">
        <f>'Low-price monthly forecast'!R23*'Model inputs'!B57</f>
        <v>0</v>
      </c>
      <c r="S43" s="11">
        <f>'Low-price monthly forecast'!S23*'Model inputs'!B57</f>
        <v>0</v>
      </c>
    </row>
    <row r="44" outlineLevel="1">
      <c r="A44" t="inlineStr" s="8">
        <is>
          <t xml:space="preserve">Team</t>
        </is>
      </c>
      <c r="B44" s="11">
        <f>'Low-price monthly forecast'!B24*'Model inputs'!B58</f>
        <v>67.2</v>
      </c>
      <c r="C44" s="11">
        <f>'Low-price monthly forecast'!C24*'Model inputs'!B58</f>
        <v>131.712</v>
      </c>
      <c r="D44" s="11">
        <f>'Low-price monthly forecast'!D24*'Model inputs'!B58</f>
        <v>193.64352</v>
      </c>
      <c r="E44" s="11">
        <f>'Low-price monthly forecast'!E24*'Model inputs'!B58</f>
        <v>253.0977792</v>
      </c>
      <c r="F44" s="11">
        <f>'Low-price monthly forecast'!F24*'Model inputs'!B58</f>
        <v>310.1738680319999</v>
      </c>
      <c r="G44" s="11">
        <f>'Low-price monthly forecast'!G24*'Model inputs'!B58</f>
        <v>364.96691331072</v>
      </c>
      <c r="H44" s="11">
        <f>'Low-price monthly forecast'!H24*'Model inputs'!B58</f>
        <v>417.5682367782912</v>
      </c>
      <c r="I44" s="11">
        <f>'Low-price monthly forecast'!I24*'Model inputs'!B58</f>
        <v>468.0655073071595</v>
      </c>
      <c r="J44" s="11">
        <f>'Low-price monthly forecast'!J24*'Model inputs'!B58</f>
        <v>516.5428870148731</v>
      </c>
      <c r="K44" s="11">
        <f>'Low-price monthly forecast'!K24*'Model inputs'!B58</f>
        <v>563.0811715342783</v>
      </c>
      <c r="L44" s="11">
        <f>'Low-price monthly forecast'!L24*'Model inputs'!B58</f>
        <v>607.757924672907</v>
      </c>
      <c r="M44" s="11">
        <f>'Low-price monthly forecast'!M24*'Model inputs'!B58</f>
        <v>650.6476076859907</v>
      </c>
      <c r="N44" s="11">
        <f>'Low-price monthly forecast'!N24*'Model inputs'!B58</f>
        <v>691.8217033785511</v>
      </c>
      <c r="O44" s="11">
        <f>'Low-price monthly forecast'!O24*'Model inputs'!B58</f>
        <v>731.3488352434091</v>
      </c>
      <c r="P44" s="11">
        <f>'Low-price monthly forecast'!P24*'Model inputs'!B58</f>
        <v>769.2948818336727</v>
      </c>
      <c r="Q44" s="11">
        <f>'Low-price monthly forecast'!Q24*'Model inputs'!B58</f>
        <v>805.7230865603258</v>
      </c>
      <c r="R44" s="11">
        <f>'Low-price monthly forecast'!R24*'Model inputs'!B58</f>
        <v>840.6941630979127</v>
      </c>
      <c r="S44" s="11">
        <f>'Low-price monthly forecast'!S24*'Model inputs'!B58</f>
        <v>874.2663965739963</v>
      </c>
    </row>
    <row r="45">
      <c r="A45" t="inlineStr" s="6">
        <is>
          <t xml:space="preserve">NW Infrastructure delivery cost</t>
        </is>
      </c>
      <c r="B45" s="10">
        <f>SUM('Low-price monthly forecast'!B46,'Low-price monthly forecast'!B47,'Low-price monthly forecast'!B48,'Low-price monthly forecast'!B49)</f>
        <v>92.4</v>
      </c>
      <c r="C45" s="10">
        <f>SUM('Low-price monthly forecast'!C46,'Low-price monthly forecast'!C47,'Low-price monthly forecast'!C48,'Low-price monthly forecast'!C49)</f>
        <v>181.104</v>
      </c>
      <c r="D45" s="10">
        <f>SUM('Low-price monthly forecast'!D46,'Low-price monthly forecast'!D47,'Low-price monthly forecast'!D48,'Low-price monthly forecast'!D49)</f>
        <v>266.25984000000005</v>
      </c>
      <c r="E45" s="10">
        <f>SUM('Low-price monthly forecast'!E46,'Low-price monthly forecast'!E47,'Low-price monthly forecast'!E48,'Low-price monthly forecast'!E49)</f>
        <v>348.0094464</v>
      </c>
      <c r="F45" s="10">
        <f>SUM('Low-price monthly forecast'!F46,'Low-price monthly forecast'!F47,'Low-price monthly forecast'!F48,'Low-price monthly forecast'!F49)</f>
        <v>426.489068544</v>
      </c>
      <c r="G45" s="10">
        <f>SUM('Low-price monthly forecast'!G46,'Low-price monthly forecast'!G47,'Low-price monthly forecast'!G48,'Low-price monthly forecast'!G49)</f>
        <v>501.8295058022401</v>
      </c>
      <c r="H45" s="10">
        <f>SUM('Low-price monthly forecast'!H46,'Low-price monthly forecast'!H47,'Low-price monthly forecast'!H48,'Low-price monthly forecast'!H49)</f>
        <v>574.1563255701506</v>
      </c>
      <c r="I45" s="10">
        <f>SUM('Low-price monthly forecast'!I46,'Low-price monthly forecast'!I47,'Low-price monthly forecast'!I48,'Low-price monthly forecast'!I49)</f>
        <v>643.5900725473444</v>
      </c>
      <c r="J45" s="10">
        <f>SUM('Low-price monthly forecast'!J46,'Low-price monthly forecast'!J47,'Low-price monthly forecast'!J48,'Low-price monthly forecast'!J49)</f>
        <v>710.2464696454507</v>
      </c>
      <c r="K45" s="10">
        <f>SUM('Low-price monthly forecast'!K46,'Low-price monthly forecast'!K47,'Low-price monthly forecast'!K48,'Low-price monthly forecast'!K49)</f>
        <v>774.2366108596327</v>
      </c>
      <c r="L45" s="10">
        <f>SUM('Low-price monthly forecast'!L46,'Low-price monthly forecast'!L47,'Low-price monthly forecast'!L48,'Low-price monthly forecast'!L49)</f>
        <v>835.6671464252473</v>
      </c>
      <c r="M45" s="10">
        <f>SUM('Low-price monthly forecast'!M46,'Low-price monthly forecast'!M47,'Low-price monthly forecast'!M48,'Low-price monthly forecast'!M49)</f>
        <v>894.6404605682374</v>
      </c>
      <c r="N45" s="10">
        <f>SUM('Low-price monthly forecast'!N46,'Low-price monthly forecast'!N47,'Low-price monthly forecast'!N48,'Low-price monthly forecast'!N49)</f>
        <v>951.2548421455078</v>
      </c>
      <c r="O45" s="10">
        <f>SUM('Low-price monthly forecast'!O46,'Low-price monthly forecast'!O47,'Low-price monthly forecast'!O48,'Low-price monthly forecast'!O49)</f>
        <v>1005.6046484596875</v>
      </c>
      <c r="P45" s="10">
        <f>SUM('Low-price monthly forecast'!P46,'Low-price monthly forecast'!P47,'Low-price monthly forecast'!P48,'Low-price monthly forecast'!P49)</f>
        <v>1057.7804625213</v>
      </c>
      <c r="Q45" s="10">
        <f>SUM('Low-price monthly forecast'!Q46,'Low-price monthly forecast'!Q47,'Low-price monthly forecast'!Q48,'Low-price monthly forecast'!Q49)</f>
        <v>1107.8692440204481</v>
      </c>
      <c r="R45" s="10">
        <f>SUM('Low-price monthly forecast'!R46,'Low-price monthly forecast'!R47,'Low-price monthly forecast'!R48,'Low-price monthly forecast'!R49)</f>
        <v>1155.9544742596302</v>
      </c>
      <c r="S45" s="10">
        <f>SUM('Low-price monthly forecast'!S46,'Low-price monthly forecast'!S47,'Low-price monthly forecast'!S48,'Low-price monthly forecast'!S49)</f>
        <v>1202.116295289245</v>
      </c>
    </row>
    <row r="46" outlineLevel="1">
      <c r="A46" t="inlineStr" s="8">
        <is>
          <t xml:space="preserve">Business</t>
        </is>
      </c>
      <c r="B46" s="11">
        <f>'Low-price monthly forecast'!B21*'Model inputs'!B50</f>
        <v>22.400000000000002</v>
      </c>
      <c r="C46" s="11">
        <f>'Low-price monthly forecast'!C21*'Model inputs'!B50</f>
        <v>43.904</v>
      </c>
      <c r="D46" s="11">
        <f>'Low-price monthly forecast'!D21*'Model inputs'!B50</f>
        <v>64.54784000000001</v>
      </c>
      <c r="E46" s="11">
        <f>'Low-price monthly forecast'!E21*'Model inputs'!B50</f>
        <v>84.36592640000002</v>
      </c>
      <c r="F46" s="11">
        <f>'Low-price monthly forecast'!F21*'Model inputs'!B50</f>
        <v>103.39128934400003</v>
      </c>
      <c r="G46" s="11">
        <f>'Low-price monthly forecast'!G21*'Model inputs'!B50</f>
        <v>121.65563777024002</v>
      </c>
      <c r="H46" s="11">
        <f>'Low-price monthly forecast'!H21*'Model inputs'!B50</f>
        <v>139.18941225943044</v>
      </c>
      <c r="I46" s="11">
        <f>'Low-price monthly forecast'!I21*'Model inputs'!B50</f>
        <v>156.0218357690532</v>
      </c>
      <c r="J46" s="11">
        <f>'Low-price monthly forecast'!J21*'Model inputs'!B50</f>
        <v>172.1809623382911</v>
      </c>
      <c r="K46" s="11">
        <f>'Low-price monthly forecast'!K21*'Model inputs'!B50</f>
        <v>187.69372384475943</v>
      </c>
      <c r="L46" s="11">
        <f>'Low-price monthly forecast'!L21*'Model inputs'!B50</f>
        <v>202.58597489096906</v>
      </c>
      <c r="M46" s="11">
        <f>'Low-price monthly forecast'!M21*'Model inputs'!B50</f>
        <v>216.8825358953303</v>
      </c>
      <c r="N46" s="11">
        <f>'Low-price monthly forecast'!N21*'Model inputs'!B50</f>
        <v>230.6072344595171</v>
      </c>
      <c r="O46" s="11">
        <f>'Low-price monthly forecast'!O21*'Model inputs'!B50</f>
        <v>243.7829450811364</v>
      </c>
      <c r="P46" s="11">
        <f>'Low-price monthly forecast'!P21*'Model inputs'!B50</f>
        <v>256.4316272778909</v>
      </c>
      <c r="Q46" s="11">
        <f>'Low-price monthly forecast'!Q21*'Model inputs'!B50</f>
        <v>268.5743621867753</v>
      </c>
      <c r="R46" s="11">
        <f>'Low-price monthly forecast'!R21*'Model inputs'!B50</f>
        <v>280.23138769930426</v>
      </c>
      <c r="S46" s="11">
        <f>'Low-price monthly forecast'!S21*'Model inputs'!B50</f>
        <v>291.4221321913321</v>
      </c>
    </row>
    <row r="47" outlineLevel="1">
      <c r="A47" t="inlineStr" s="8">
        <is>
          <t xml:space="preserve">Community</t>
        </is>
      </c>
      <c r="B47" s="11">
        <f>'Low-price monthly forecast'!B22*'Model inputs'!B51</f>
        <v>0</v>
      </c>
      <c r="C47" s="11">
        <f>'Low-price monthly forecast'!C22*'Model inputs'!B51</f>
        <v>0</v>
      </c>
      <c r="D47" s="11">
        <f>'Low-price monthly forecast'!D22*'Model inputs'!B51</f>
        <v>0</v>
      </c>
      <c r="E47" s="11">
        <f>'Low-price monthly forecast'!E22*'Model inputs'!B51</f>
        <v>0</v>
      </c>
      <c r="F47" s="11">
        <f>'Low-price monthly forecast'!F22*'Model inputs'!B51</f>
        <v>0</v>
      </c>
      <c r="G47" s="11">
        <f>'Low-price monthly forecast'!G22*'Model inputs'!B51</f>
        <v>0</v>
      </c>
      <c r="H47" s="11">
        <f>'Low-price monthly forecast'!H22*'Model inputs'!B51</f>
        <v>0</v>
      </c>
      <c r="I47" s="11">
        <f>'Low-price monthly forecast'!I22*'Model inputs'!B51</f>
        <v>0</v>
      </c>
      <c r="J47" s="11">
        <f>'Low-price monthly forecast'!J22*'Model inputs'!B51</f>
        <v>0</v>
      </c>
      <c r="K47" s="11">
        <f>'Low-price monthly forecast'!K22*'Model inputs'!B51</f>
        <v>0</v>
      </c>
      <c r="L47" s="11">
        <f>'Low-price monthly forecast'!L22*'Model inputs'!B51</f>
        <v>0</v>
      </c>
      <c r="M47" s="11">
        <f>'Low-price monthly forecast'!M22*'Model inputs'!B51</f>
        <v>0</v>
      </c>
      <c r="N47" s="11">
        <f>'Low-price monthly forecast'!N22*'Model inputs'!B51</f>
        <v>0</v>
      </c>
      <c r="O47" s="11">
        <f>'Low-price monthly forecast'!O22*'Model inputs'!B51</f>
        <v>0</v>
      </c>
      <c r="P47" s="11">
        <f>'Low-price monthly forecast'!P22*'Model inputs'!B51</f>
        <v>0</v>
      </c>
      <c r="Q47" s="11">
        <f>'Low-price monthly forecast'!Q22*'Model inputs'!B51</f>
        <v>0</v>
      </c>
      <c r="R47" s="11">
        <f>'Low-price monthly forecast'!R22*'Model inputs'!B51</f>
        <v>0</v>
      </c>
      <c r="S47" s="11">
        <f>'Low-price monthly forecast'!S22*'Model inputs'!B51</f>
        <v>0</v>
      </c>
    </row>
    <row r="48" outlineLevel="1">
      <c r="A48" t="inlineStr" s="8">
        <is>
          <t xml:space="preserve">Starter</t>
        </is>
      </c>
      <c r="B48" s="11">
        <f>'Low-price monthly forecast'!B23*'Model inputs'!B52</f>
        <v>30.800000000000004</v>
      </c>
      <c r="C48" s="11">
        <f>'Low-price monthly forecast'!C23*'Model inputs'!B52</f>
        <v>60.368</v>
      </c>
      <c r="D48" s="11">
        <f>'Low-price monthly forecast'!D23*'Model inputs'!B52</f>
        <v>88.75328000000002</v>
      </c>
      <c r="E48" s="11">
        <f>'Low-price monthly forecast'!E23*'Model inputs'!B52</f>
        <v>116.0031488</v>
      </c>
      <c r="F48" s="11">
        <f>'Low-price monthly forecast'!F23*'Model inputs'!B52</f>
        <v>142.16302284800003</v>
      </c>
      <c r="G48" s="11">
        <f>'Low-price monthly forecast'!G23*'Model inputs'!B52</f>
        <v>167.27650193408002</v>
      </c>
      <c r="H48" s="11">
        <f>'Low-price monthly forecast'!H23*'Model inputs'!B52</f>
        <v>191.38544185671682</v>
      </c>
      <c r="I48" s="11">
        <f>'Low-price monthly forecast'!I23*'Model inputs'!B52</f>
        <v>214.53002418244816</v>
      </c>
      <c r="J48" s="11">
        <f>'Low-price monthly forecast'!J23*'Model inputs'!B52</f>
        <v>236.74882321515022</v>
      </c>
      <c r="K48" s="11">
        <f>'Low-price monthly forecast'!K23*'Model inputs'!B52</f>
        <v>258.0788702865442</v>
      </c>
      <c r="L48" s="11">
        <f>'Low-price monthly forecast'!L23*'Model inputs'!B52</f>
        <v>278.5557154750824</v>
      </c>
      <c r="M48" s="11">
        <f>'Low-price monthly forecast'!M23*'Model inputs'!B52</f>
        <v>298.2134868560791</v>
      </c>
      <c r="N48" s="11">
        <f>'Low-price monthly forecast'!N23*'Model inputs'!B52</f>
        <v>317.08494738183595</v>
      </c>
      <c r="O48" s="11">
        <f>'Low-price monthly forecast'!O23*'Model inputs'!B52</f>
        <v>335.2015494865625</v>
      </c>
      <c r="P48" s="11">
        <f>'Low-price monthly forecast'!P23*'Model inputs'!B52</f>
        <v>352.5934875071</v>
      </c>
      <c r="Q48" s="11">
        <f>'Low-price monthly forecast'!Q23*'Model inputs'!B52</f>
        <v>369.289748006816</v>
      </c>
      <c r="R48" s="11">
        <f>'Low-price monthly forecast'!R23*'Model inputs'!B52</f>
        <v>385.31815808654335</v>
      </c>
      <c r="S48" s="11">
        <f>'Low-price monthly forecast'!S23*'Model inputs'!B52</f>
        <v>400.70543176308166</v>
      </c>
    </row>
    <row r="49" outlineLevel="1">
      <c r="A49" t="inlineStr" s="8">
        <is>
          <t xml:space="preserve">Team</t>
        </is>
      </c>
      <c r="B49" s="11">
        <f>'Low-price monthly forecast'!B24*'Model inputs'!B53</f>
        <v>39.2</v>
      </c>
      <c r="C49" s="11">
        <f>'Low-price monthly forecast'!C24*'Model inputs'!B53</f>
        <v>76.83200000000001</v>
      </c>
      <c r="D49" s="11">
        <f>'Low-price monthly forecast'!D24*'Model inputs'!B53</f>
        <v>112.95872</v>
      </c>
      <c r="E49" s="11">
        <f>'Low-price monthly forecast'!E24*'Model inputs'!B53</f>
        <v>147.6403712</v>
      </c>
      <c r="F49" s="11">
        <f>'Low-price monthly forecast'!F24*'Model inputs'!B53</f>
        <v>180.934756352</v>
      </c>
      <c r="G49" s="11">
        <f>'Low-price monthly forecast'!G24*'Model inputs'!B53</f>
        <v>212.89736609792</v>
      </c>
      <c r="H49" s="11">
        <f>'Low-price monthly forecast'!H24*'Model inputs'!B53</f>
        <v>243.58147145400324</v>
      </c>
      <c r="I49" s="11">
        <f>'Low-price monthly forecast'!I24*'Model inputs'!B53</f>
        <v>273.0382125958431</v>
      </c>
      <c r="J49" s="11">
        <f>'Low-price monthly forecast'!J24*'Model inputs'!B53</f>
        <v>301.3166840920094</v>
      </c>
      <c r="K49" s="11">
        <f>'Low-price monthly forecast'!K24*'Model inputs'!B53</f>
        <v>328.464016728329</v>
      </c>
      <c r="L49" s="11">
        <f>'Low-price monthly forecast'!L24*'Model inputs'!B53</f>
        <v>354.52545605919585</v>
      </c>
      <c r="M49" s="11">
        <f>'Low-price monthly forecast'!M24*'Model inputs'!B53</f>
        <v>379.54443781682795</v>
      </c>
      <c r="N49" s="11">
        <f>'Low-price monthly forecast'!N24*'Model inputs'!B53</f>
        <v>403.56266030415486</v>
      </c>
      <c r="O49" s="11">
        <f>'Low-price monthly forecast'!O24*'Model inputs'!B53</f>
        <v>426.62015389198865</v>
      </c>
      <c r="P49" s="11">
        <f>'Low-price monthly forecast'!P24*'Model inputs'!B53</f>
        <v>448.75534773630915</v>
      </c>
      <c r="Q49" s="11">
        <f>'Low-price monthly forecast'!Q24*'Model inputs'!B53</f>
        <v>470.00513382685676</v>
      </c>
      <c r="R49" s="11">
        <f>'Low-price monthly forecast'!R24*'Model inputs'!B53</f>
        <v>490.4049284737825</v>
      </c>
      <c r="S49" s="11">
        <f>'Low-price monthly forecast'!S24*'Model inputs'!B53</f>
        <v>509.9887313348312</v>
      </c>
    </row>
    <row r="50">
      <c r="A50" t="inlineStr" s="6">
        <is>
          <t xml:space="preserve">NW Support delivery cost</t>
        </is>
      </c>
      <c r="B50" s="10">
        <f>SUM('Low-price monthly forecast'!B51,'Low-price monthly forecast'!B52,'Low-price monthly forecast'!B53,'Low-price monthly forecast'!B54)</f>
        <v>49.8</v>
      </c>
      <c r="C50" s="10">
        <f>SUM('Low-price monthly forecast'!C51,'Low-price monthly forecast'!C52,'Low-price monthly forecast'!C53,'Low-price monthly forecast'!C54)</f>
        <v>97.608</v>
      </c>
      <c r="D50" s="10">
        <f>SUM('Low-price monthly forecast'!D51,'Low-price monthly forecast'!D52,'Low-price monthly forecast'!D53,'Low-price monthly forecast'!D54)</f>
        <v>143.50368</v>
      </c>
      <c r="E50" s="10">
        <f>SUM('Low-price monthly forecast'!E51,'Low-price monthly forecast'!E52,'Low-price monthly forecast'!E53,'Low-price monthly forecast'!E54)</f>
        <v>187.56353280000002</v>
      </c>
      <c r="F50" s="10">
        <f>SUM('Low-price monthly forecast'!F51,'Low-price monthly forecast'!F52,'Low-price monthly forecast'!F53,'Low-price monthly forecast'!F54)</f>
        <v>229.860991488</v>
      </c>
      <c r="G50" s="10">
        <f>SUM('Low-price monthly forecast'!G51,'Low-price monthly forecast'!G52,'Low-price monthly forecast'!G53,'Low-price monthly forecast'!G54)</f>
        <v>270.46655182848</v>
      </c>
      <c r="H50" s="10">
        <f>SUM('Low-price monthly forecast'!H51,'Low-price monthly forecast'!H52,'Low-price monthly forecast'!H53,'Low-price monthly forecast'!H54)</f>
        <v>309.44788975534084</v>
      </c>
      <c r="I50" s="10">
        <f>SUM('Low-price monthly forecast'!I51,'Low-price monthly forecast'!I52,'Low-price monthly forecast'!I53,'Low-price monthly forecast'!I54)</f>
        <v>346.8699741651272</v>
      </c>
      <c r="J50" s="10">
        <f>SUM('Low-price monthly forecast'!J51,'Low-price monthly forecast'!J52,'Low-price monthly forecast'!J53,'Low-price monthly forecast'!J54)</f>
        <v>382.7951751985221</v>
      </c>
      <c r="K50" s="10">
        <f>SUM('Low-price monthly forecast'!K51,'Low-price monthly forecast'!K52,'Low-price monthly forecast'!K53,'Low-price monthly forecast'!K54)</f>
        <v>417.2833681905812</v>
      </c>
      <c r="L50" s="10">
        <f>SUM('Low-price monthly forecast'!L51,'Low-price monthly forecast'!L52,'Low-price monthly forecast'!L53,'Low-price monthly forecast'!L54)</f>
        <v>450.39203346295795</v>
      </c>
      <c r="M50" s="10">
        <f>SUM('Low-price monthly forecast'!M51,'Low-price monthly forecast'!M52,'Low-price monthly forecast'!M53,'Low-price monthly forecast'!M54)</f>
        <v>482.1763521244396</v>
      </c>
      <c r="N50" s="10">
        <f>SUM('Low-price monthly forecast'!N51,'Low-price monthly forecast'!N52,'Low-price monthly forecast'!N53,'Low-price monthly forecast'!N54)</f>
        <v>512.6892980394621</v>
      </c>
      <c r="O50" s="10">
        <f>SUM('Low-price monthly forecast'!O51,'Low-price monthly forecast'!O52,'Low-price monthly forecast'!O53,'Low-price monthly forecast'!O54)</f>
        <v>541.9817261178836</v>
      </c>
      <c r="P50" s="10">
        <f>SUM('Low-price monthly forecast'!P51,'Low-price monthly forecast'!P52,'Low-price monthly forecast'!P53,'Low-price monthly forecast'!P54)</f>
        <v>570.1024570731681</v>
      </c>
      <c r="Q50" s="10">
        <f>SUM('Low-price monthly forecast'!Q51,'Low-price monthly forecast'!Q52,'Low-price monthly forecast'!Q53,'Low-price monthly forecast'!Q54)</f>
        <v>597.0983587902415</v>
      </c>
      <c r="R50" s="10">
        <f>SUM('Low-price monthly forecast'!R51,'Low-price monthly forecast'!R52,'Low-price monthly forecast'!R53,'Low-price monthly forecast'!R54)</f>
        <v>623.0144244386317</v>
      </c>
      <c r="S50" s="10">
        <f>SUM('Low-price monthly forecast'!S51,'Low-price monthly forecast'!S52,'Low-price monthly forecast'!S53,'Low-price monthly forecast'!S54)</f>
        <v>647.8938474610865</v>
      </c>
    </row>
    <row r="51" outlineLevel="1">
      <c r="A51" t="inlineStr" s="8">
        <is>
          <t xml:space="preserve">Business</t>
        </is>
      </c>
      <c r="B51" s="11">
        <f>'Low-price monthly forecast'!B21*'Model inputs'!B99</f>
        <v>20</v>
      </c>
      <c r="C51" s="11">
        <f>'Low-price monthly forecast'!C21*'Model inputs'!B99</f>
        <v>39.2</v>
      </c>
      <c r="D51" s="11">
        <f>'Low-price monthly forecast'!D21*'Model inputs'!B99</f>
        <v>57.632000000000005</v>
      </c>
      <c r="E51" s="11">
        <f>'Low-price monthly forecast'!E21*'Model inputs'!B99</f>
        <v>75.32672000000001</v>
      </c>
      <c r="F51" s="11">
        <f>'Low-price monthly forecast'!F21*'Model inputs'!B99</f>
        <v>92.31365120000001</v>
      </c>
      <c r="G51" s="11">
        <f>'Low-price monthly forecast'!G21*'Model inputs'!B99</f>
        <v>108.62110515200001</v>
      </c>
      <c r="H51" s="11">
        <f>'Low-price monthly forecast'!H21*'Model inputs'!B99</f>
        <v>124.27626094592001</v>
      </c>
      <c r="I51" s="11">
        <f>'Low-price monthly forecast'!I21*'Model inputs'!B99</f>
        <v>139.3052105080832</v>
      </c>
      <c r="J51" s="11">
        <f>'Low-price monthly forecast'!J21*'Model inputs'!B99</f>
        <v>153.7330020877599</v>
      </c>
      <c r="K51" s="11">
        <f>'Low-price monthly forecast'!K21*'Model inputs'!B99</f>
        <v>167.58368200424945</v>
      </c>
      <c r="L51" s="11">
        <f>'Low-price monthly forecast'!L21*'Model inputs'!B99</f>
        <v>180.8803347240795</v>
      </c>
      <c r="M51" s="11">
        <f>'Low-price monthly forecast'!M21*'Model inputs'!B99</f>
        <v>193.6451213351163</v>
      </c>
      <c r="N51" s="11">
        <f>'Low-price monthly forecast'!N21*'Model inputs'!B99</f>
        <v>205.89931648171165</v>
      </c>
      <c r="O51" s="11">
        <f>'Low-price monthly forecast'!O21*'Model inputs'!B99</f>
        <v>217.6633438224432</v>
      </c>
      <c r="P51" s="11">
        <f>'Low-price monthly forecast'!P21*'Model inputs'!B99</f>
        <v>228.95681006954547</v>
      </c>
      <c r="Q51" s="11">
        <f>'Low-price monthly forecast'!Q21*'Model inputs'!B99</f>
        <v>239.79853766676365</v>
      </c>
      <c r="R51" s="11">
        <f>'Low-price monthly forecast'!R21*'Model inputs'!B99</f>
        <v>250.20659616009308</v>
      </c>
      <c r="S51" s="11">
        <f>'Low-price monthly forecast'!S21*'Model inputs'!B99</f>
        <v>260.1983323136893</v>
      </c>
    </row>
    <row r="52" outlineLevel="1">
      <c r="A52" t="inlineStr" s="8">
        <is>
          <t xml:space="preserve">Community</t>
        </is>
      </c>
      <c r="B52" s="11">
        <f>'Low-price monthly forecast'!B22*'Model inputs'!B100</f>
        <v>0</v>
      </c>
      <c r="C52" s="11">
        <f>'Low-price monthly forecast'!C22*'Model inputs'!B100</f>
        <v>0</v>
      </c>
      <c r="D52" s="11">
        <f>'Low-price monthly forecast'!D22*'Model inputs'!B100</f>
        <v>0</v>
      </c>
      <c r="E52" s="11">
        <f>'Low-price monthly forecast'!E22*'Model inputs'!B100</f>
        <v>0</v>
      </c>
      <c r="F52" s="11">
        <f>'Low-price monthly forecast'!F22*'Model inputs'!B100</f>
        <v>0</v>
      </c>
      <c r="G52" s="11">
        <f>'Low-price monthly forecast'!G22*'Model inputs'!B100</f>
        <v>0</v>
      </c>
      <c r="H52" s="11">
        <f>'Low-price monthly forecast'!H22*'Model inputs'!B100</f>
        <v>0</v>
      </c>
      <c r="I52" s="11">
        <f>'Low-price monthly forecast'!I22*'Model inputs'!B100</f>
        <v>0</v>
      </c>
      <c r="J52" s="11">
        <f>'Low-price monthly forecast'!J22*'Model inputs'!B100</f>
        <v>0</v>
      </c>
      <c r="K52" s="11">
        <f>'Low-price monthly forecast'!K22*'Model inputs'!B100</f>
        <v>0</v>
      </c>
      <c r="L52" s="11">
        <f>'Low-price monthly forecast'!L22*'Model inputs'!B100</f>
        <v>0</v>
      </c>
      <c r="M52" s="11">
        <f>'Low-price monthly forecast'!M22*'Model inputs'!B100</f>
        <v>0</v>
      </c>
      <c r="N52" s="11">
        <f>'Low-price monthly forecast'!N22*'Model inputs'!B100</f>
        <v>0</v>
      </c>
      <c r="O52" s="11">
        <f>'Low-price monthly forecast'!O22*'Model inputs'!B100</f>
        <v>0</v>
      </c>
      <c r="P52" s="11">
        <f>'Low-price monthly forecast'!P22*'Model inputs'!B100</f>
        <v>0</v>
      </c>
      <c r="Q52" s="11">
        <f>'Low-price monthly forecast'!Q22*'Model inputs'!B100</f>
        <v>0</v>
      </c>
      <c r="R52" s="11">
        <f>'Low-price monthly forecast'!R22*'Model inputs'!B100</f>
        <v>0</v>
      </c>
      <c r="S52" s="11">
        <f>'Low-price monthly forecast'!S22*'Model inputs'!B100</f>
        <v>0</v>
      </c>
    </row>
    <row r="53" outlineLevel="1">
      <c r="A53" t="inlineStr" s="8">
        <is>
          <t xml:space="preserve">Starter</t>
        </is>
      </c>
      <c r="B53" s="11">
        <f>'Low-price monthly forecast'!B23*'Model inputs'!B101</f>
        <v>8.8</v>
      </c>
      <c r="C53" s="11">
        <f>'Low-price monthly forecast'!C23*'Model inputs'!B101</f>
        <v>17.248</v>
      </c>
      <c r="D53" s="11">
        <f>'Low-price monthly forecast'!D23*'Model inputs'!B101</f>
        <v>25.35808</v>
      </c>
      <c r="E53" s="11">
        <f>'Low-price monthly forecast'!E23*'Model inputs'!B101</f>
        <v>33.1437568</v>
      </c>
      <c r="F53" s="11">
        <f>'Low-price monthly forecast'!F23*'Model inputs'!B101</f>
        <v>40.618006528</v>
      </c>
      <c r="G53" s="11">
        <f>'Low-price monthly forecast'!G23*'Model inputs'!B101</f>
        <v>47.79328626688</v>
      </c>
      <c r="H53" s="11">
        <f>'Low-price monthly forecast'!H23*'Model inputs'!B101</f>
        <v>54.6815548162048</v>
      </c>
      <c r="I53" s="11">
        <f>'Low-price monthly forecast'!I23*'Model inputs'!B101</f>
        <v>61.294292623556615</v>
      </c>
      <c r="J53" s="11">
        <f>'Low-price monthly forecast'!J23*'Model inputs'!B101</f>
        <v>67.64252091861435</v>
      </c>
      <c r="K53" s="11">
        <f>'Low-price monthly forecast'!K23*'Model inputs'!B101</f>
        <v>73.73682008186977</v>
      </c>
      <c r="L53" s="11">
        <f>'Low-price monthly forecast'!L23*'Model inputs'!B101</f>
        <v>79.58734727859498</v>
      </c>
      <c r="M53" s="11">
        <f>'Low-price monthly forecast'!M23*'Model inputs'!B101</f>
        <v>85.20385338745118</v>
      </c>
      <c r="N53" s="11">
        <f>'Low-price monthly forecast'!N23*'Model inputs'!B101</f>
        <v>90.59569925195314</v>
      </c>
      <c r="O53" s="11">
        <f>'Low-price monthly forecast'!O23*'Model inputs'!B101</f>
        <v>95.77187128187501</v>
      </c>
      <c r="P53" s="11">
        <f>'Low-price monthly forecast'!P23*'Model inputs'!B101</f>
        <v>100.7409964306</v>
      </c>
      <c r="Q53" s="11">
        <f>'Low-price monthly forecast'!Q23*'Model inputs'!B101</f>
        <v>105.511356573376</v>
      </c>
      <c r="R53" s="11">
        <f>'Low-price monthly forecast'!R23*'Model inputs'!B101</f>
        <v>110.09090231044095</v>
      </c>
      <c r="S53" s="11">
        <f>'Low-price monthly forecast'!S23*'Model inputs'!B101</f>
        <v>114.48726621802332</v>
      </c>
    </row>
    <row r="54" outlineLevel="1">
      <c r="A54" t="inlineStr" s="8">
        <is>
          <t xml:space="preserve">Team</t>
        </is>
      </c>
      <c r="B54" s="11">
        <f>'Low-price monthly forecast'!B24*'Model inputs'!B102</f>
        <v>21</v>
      </c>
      <c r="C54" s="11">
        <f>'Low-price monthly forecast'!C24*'Model inputs'!B102</f>
        <v>41.160000000000004</v>
      </c>
      <c r="D54" s="11">
        <f>'Low-price monthly forecast'!D24*'Model inputs'!B102</f>
        <v>60.5136</v>
      </c>
      <c r="E54" s="11">
        <f>'Low-price monthly forecast'!E24*'Model inputs'!B102</f>
        <v>79.093056</v>
      </c>
      <c r="F54" s="11">
        <f>'Low-price monthly forecast'!F24*'Model inputs'!B102</f>
        <v>96.92933375999999</v>
      </c>
      <c r="G54" s="11">
        <f>'Low-price monthly forecast'!G24*'Model inputs'!B102</f>
        <v>114.05216040959999</v>
      </c>
      <c r="H54" s="11">
        <f>'Low-price monthly forecast'!H24*'Model inputs'!B102</f>
        <v>130.49007399321601</v>
      </c>
      <c r="I54" s="11">
        <f>'Low-price monthly forecast'!I24*'Model inputs'!B102</f>
        <v>146.27047103348735</v>
      </c>
      <c r="J54" s="11">
        <f>'Low-price monthly forecast'!J24*'Model inputs'!B102</f>
        <v>161.41965219214785</v>
      </c>
      <c r="K54" s="11">
        <f>'Low-price monthly forecast'!K24*'Model inputs'!B102</f>
        <v>175.96286610446197</v>
      </c>
      <c r="L54" s="11">
        <f>'Low-price monthly forecast'!L24*'Model inputs'!B102</f>
        <v>189.92435146028348</v>
      </c>
      <c r="M54" s="11">
        <f>'Low-price monthly forecast'!M24*'Model inputs'!B102</f>
        <v>203.3273774018721</v>
      </c>
      <c r="N54" s="11">
        <f>'Low-price monthly forecast'!N24*'Model inputs'!B102</f>
        <v>216.19428230579723</v>
      </c>
      <c r="O54" s="11">
        <f>'Low-price monthly forecast'!O24*'Model inputs'!B102</f>
        <v>228.54651101356535</v>
      </c>
      <c r="P54" s="11">
        <f>'Low-price monthly forecast'!P24*'Model inputs'!B102</f>
        <v>240.4046505730227</v>
      </c>
      <c r="Q54" s="11">
        <f>'Low-price monthly forecast'!Q24*'Model inputs'!B102</f>
        <v>251.78846455010182</v>
      </c>
      <c r="R54" s="11">
        <f>'Low-price monthly forecast'!R24*'Model inputs'!B102</f>
        <v>262.7169259680977</v>
      </c>
      <c r="S54" s="11">
        <f>'Low-price monthly forecast'!S24*'Model inputs'!B102</f>
        <v>273.20824892937384</v>
      </c>
    </row>
    <row r="55">
      <c r="A55" t="inlineStr" s="6">
        <is>
          <t xml:space="preserve">NW Payment fees</t>
        </is>
      </c>
      <c r="B55" s="10">
        <f>SUM('Low-price monthly forecast'!B56,'Low-price monthly forecast'!B57,'Low-price monthly forecast'!B58,'Low-price monthly forecast'!B59)</f>
        <v>57.7</v>
      </c>
      <c r="C55" s="10">
        <f>SUM('Low-price monthly forecast'!C56,'Low-price monthly forecast'!C57,'Low-price monthly forecast'!C58,'Low-price monthly forecast'!C59)</f>
        <v>113.09200000000001</v>
      </c>
      <c r="D55" s="10">
        <f>SUM('Low-price monthly forecast'!D56,'Low-price monthly forecast'!D57,'Low-price monthly forecast'!D58,'Low-price monthly forecast'!D59)</f>
        <v>166.26832000000002</v>
      </c>
      <c r="E55" s="10">
        <f>SUM('Low-price monthly forecast'!E56,'Low-price monthly forecast'!E57,'Low-price monthly forecast'!E58,'Low-price monthly forecast'!E59)</f>
        <v>217.31758720000005</v>
      </c>
      <c r="F55" s="10">
        <f>SUM('Low-price monthly forecast'!F56,'Low-price monthly forecast'!F57,'Low-price monthly forecast'!F58,'Low-price monthly forecast'!F59)</f>
        <v>266.32488371200003</v>
      </c>
      <c r="G55" s="10">
        <f>SUM('Low-price monthly forecast'!G56,'Low-price monthly forecast'!G57,'Low-price monthly forecast'!G58,'Low-price monthly forecast'!G59)</f>
        <v>313.37188836352004</v>
      </c>
      <c r="H55" s="10">
        <f>SUM('Low-price monthly forecast'!H56,'Low-price monthly forecast'!H57,'Low-price monthly forecast'!H58,'Low-price monthly forecast'!H59)</f>
        <v>358.53701282897924</v>
      </c>
      <c r="I55" s="10">
        <f>SUM('Low-price monthly forecast'!I56,'Low-price monthly forecast'!I57,'Low-price monthly forecast'!I58,'Low-price monthly forecast'!I59)</f>
        <v>401.8955323158201</v>
      </c>
      <c r="J55" s="10">
        <f>SUM('Low-price monthly forecast'!J56,'Low-price monthly forecast'!J57,'Low-price monthly forecast'!J58,'Low-price monthly forecast'!J59)</f>
        <v>443.51971102318726</v>
      </c>
      <c r="K55" s="10">
        <f>SUM('Low-price monthly forecast'!K56,'Low-price monthly forecast'!K57,'Low-price monthly forecast'!K58,'Low-price monthly forecast'!K59)</f>
        <v>483.47892258225977</v>
      </c>
      <c r="L55" s="10">
        <f>SUM('Low-price monthly forecast'!L56,'Low-price monthly forecast'!L57,'Low-price monthly forecast'!L58,'Low-price monthly forecast'!L59)</f>
        <v>521.8397656789693</v>
      </c>
      <c r="M55" s="10">
        <f>SUM('Low-price monthly forecast'!M56,'Low-price monthly forecast'!M57,'Low-price monthly forecast'!M58,'Low-price monthly forecast'!M59)</f>
        <v>558.6661750518106</v>
      </c>
      <c r="N55" s="10">
        <f>SUM('Low-price monthly forecast'!N56,'Low-price monthly forecast'!N57,'Low-price monthly forecast'!N58,'Low-price monthly forecast'!N59)</f>
        <v>594.0195280497381</v>
      </c>
      <c r="O55" s="10">
        <f>SUM('Low-price monthly forecast'!O56,'Low-price monthly forecast'!O57,'Low-price monthly forecast'!O58,'Low-price monthly forecast'!O59)</f>
        <v>627.9587469277486</v>
      </c>
      <c r="P55" s="10">
        <f>SUM('Low-price monthly forecast'!P56,'Low-price monthly forecast'!P57,'Low-price monthly forecast'!P58,'Low-price monthly forecast'!P59)</f>
        <v>660.5403970506386</v>
      </c>
      <c r="Q55" s="10">
        <f>SUM('Low-price monthly forecast'!Q56,'Low-price monthly forecast'!Q57,'Low-price monthly forecast'!Q58,'Low-price monthly forecast'!Q59)</f>
        <v>691.8187811686131</v>
      </c>
      <c r="R55" s="10">
        <f>SUM('Low-price monthly forecast'!R56,'Low-price monthly forecast'!R57,'Low-price monthly forecast'!R58,'Low-price monthly forecast'!R59)</f>
        <v>721.8460299218685</v>
      </c>
      <c r="S55" s="10">
        <f>SUM('Low-price monthly forecast'!S56,'Low-price monthly forecast'!S57,'Low-price monthly forecast'!S58,'Low-price monthly forecast'!S59)</f>
        <v>750.6721887249939</v>
      </c>
    </row>
    <row r="56" outlineLevel="1">
      <c r="A56" t="inlineStr" s="8">
        <is>
          <t xml:space="preserve">Business</t>
        </is>
      </c>
      <c r="B56" s="11">
        <f>'Low-price monthly forecast'!B21*'Model inputs'!B27</f>
        <v>31.200000000000003</v>
      </c>
      <c r="C56" s="11">
        <f>'Low-price monthly forecast'!C21*'Model inputs'!B27</f>
        <v>61.152</v>
      </c>
      <c r="D56" s="11">
        <f>'Low-price monthly forecast'!D21*'Model inputs'!B27</f>
        <v>89.90592000000001</v>
      </c>
      <c r="E56" s="11">
        <f>'Low-price monthly forecast'!E21*'Model inputs'!B27</f>
        <v>117.50968320000003</v>
      </c>
      <c r="F56" s="11">
        <f>'Low-price monthly forecast'!F21*'Model inputs'!B27</f>
        <v>144.00929587200002</v>
      </c>
      <c r="G56" s="11">
        <f>'Low-price monthly forecast'!G21*'Model inputs'!B27</f>
        <v>169.44892403712004</v>
      </c>
      <c r="H56" s="11">
        <f>'Low-price monthly forecast'!H21*'Model inputs'!B27</f>
        <v>193.87096707563524</v>
      </c>
      <c r="I56" s="11">
        <f>'Low-price monthly forecast'!I21*'Model inputs'!B27</f>
        <v>217.31612839260984</v>
      </c>
      <c r="J56" s="11">
        <f>'Low-price monthly forecast'!J21*'Model inputs'!B27</f>
        <v>239.82348325690546</v>
      </c>
      <c r="K56" s="11">
        <f>'Low-price monthly forecast'!K21*'Model inputs'!B27</f>
        <v>261.4305439266292</v>
      </c>
      <c r="L56" s="11">
        <f>'Low-price monthly forecast'!L21*'Model inputs'!B27</f>
        <v>282.1733221695641</v>
      </c>
      <c r="M56" s="11">
        <f>'Low-price monthly forecast'!M21*'Model inputs'!B27</f>
        <v>302.08638928278145</v>
      </c>
      <c r="N56" s="11">
        <f>'Low-price monthly forecast'!N21*'Model inputs'!B27</f>
        <v>321.2029337114702</v>
      </c>
      <c r="O56" s="11">
        <f>'Low-price monthly forecast'!O21*'Model inputs'!B27</f>
        <v>339.5548163630114</v>
      </c>
      <c r="P56" s="11">
        <f>'Low-price monthly forecast'!P21*'Model inputs'!B27</f>
        <v>357.17262370849096</v>
      </c>
      <c r="Q56" s="11">
        <f>'Low-price monthly forecast'!Q21*'Model inputs'!B27</f>
        <v>374.0857187601513</v>
      </c>
      <c r="R56" s="11">
        <f>'Low-price monthly forecast'!R21*'Model inputs'!B27</f>
        <v>390.32229000974525</v>
      </c>
      <c r="S56" s="11">
        <f>'Low-price monthly forecast'!S21*'Model inputs'!B27</f>
        <v>405.90939840935545</v>
      </c>
    </row>
    <row r="57" outlineLevel="1">
      <c r="A57" t="inlineStr" s="8">
        <is>
          <t xml:space="preserve">Community</t>
        </is>
      </c>
      <c r="B57" s="11">
        <f>'Low-price monthly forecast'!B22*'Model inputs'!B28</f>
        <v>0</v>
      </c>
      <c r="C57" s="11">
        <f>'Low-price monthly forecast'!C22*'Model inputs'!B28</f>
        <v>0</v>
      </c>
      <c r="D57" s="11">
        <f>'Low-price monthly forecast'!D22*'Model inputs'!B28</f>
        <v>0</v>
      </c>
      <c r="E57" s="11">
        <f>'Low-price monthly forecast'!E22*'Model inputs'!B28</f>
        <v>0</v>
      </c>
      <c r="F57" s="11">
        <f>'Low-price monthly forecast'!F22*'Model inputs'!B28</f>
        <v>0</v>
      </c>
      <c r="G57" s="11">
        <f>'Low-price monthly forecast'!G22*'Model inputs'!B28</f>
        <v>0</v>
      </c>
      <c r="H57" s="11">
        <f>'Low-price monthly forecast'!H22*'Model inputs'!B28</f>
        <v>0</v>
      </c>
      <c r="I57" s="11">
        <f>'Low-price monthly forecast'!I22*'Model inputs'!B28</f>
        <v>0</v>
      </c>
      <c r="J57" s="11">
        <f>'Low-price monthly forecast'!J22*'Model inputs'!B28</f>
        <v>0</v>
      </c>
      <c r="K57" s="11">
        <f>'Low-price monthly forecast'!K22*'Model inputs'!B28</f>
        <v>0</v>
      </c>
      <c r="L57" s="11">
        <f>'Low-price monthly forecast'!L22*'Model inputs'!B28</f>
        <v>0</v>
      </c>
      <c r="M57" s="11">
        <f>'Low-price monthly forecast'!M22*'Model inputs'!B28</f>
        <v>0</v>
      </c>
      <c r="N57" s="11">
        <f>'Low-price monthly forecast'!N22*'Model inputs'!B28</f>
        <v>0</v>
      </c>
      <c r="O57" s="11">
        <f>'Low-price monthly forecast'!O22*'Model inputs'!B28</f>
        <v>0</v>
      </c>
      <c r="P57" s="11">
        <f>'Low-price monthly forecast'!P22*'Model inputs'!B28</f>
        <v>0</v>
      </c>
      <c r="Q57" s="11">
        <f>'Low-price monthly forecast'!Q22*'Model inputs'!B28</f>
        <v>0</v>
      </c>
      <c r="R57" s="11">
        <f>'Low-price monthly forecast'!R22*'Model inputs'!B28</f>
        <v>0</v>
      </c>
      <c r="S57" s="11">
        <f>'Low-price monthly forecast'!S22*'Model inputs'!B28</f>
        <v>0</v>
      </c>
    </row>
    <row r="58" outlineLevel="1">
      <c r="A58" t="inlineStr" s="8">
        <is>
          <t xml:space="preserve">Starter</t>
        </is>
      </c>
      <c r="B58" s="11">
        <f>'Low-price monthly forecast'!B23*'Model inputs'!B29</f>
        <v>5.5</v>
      </c>
      <c r="C58" s="11">
        <f>'Low-price monthly forecast'!C23*'Model inputs'!B29</f>
        <v>10.78</v>
      </c>
      <c r="D58" s="11">
        <f>'Low-price monthly forecast'!D23*'Model inputs'!B29</f>
        <v>15.8488</v>
      </c>
      <c r="E58" s="11">
        <f>'Low-price monthly forecast'!E23*'Model inputs'!B29</f>
        <v>20.714848</v>
      </c>
      <c r="F58" s="11">
        <f>'Low-price monthly forecast'!F23*'Model inputs'!B29</f>
        <v>25.38625408</v>
      </c>
      <c r="G58" s="11">
        <f>'Low-price monthly forecast'!G23*'Model inputs'!B29</f>
        <v>29.8708039168</v>
      </c>
      <c r="H58" s="11">
        <f>'Low-price monthly forecast'!H23*'Model inputs'!B29</f>
        <v>34.175971760128</v>
      </c>
      <c r="I58" s="11">
        <f>'Low-price monthly forecast'!I23*'Model inputs'!B29</f>
        <v>38.30893288972288</v>
      </c>
      <c r="J58" s="11">
        <f>'Low-price monthly forecast'!J23*'Model inputs'!B29</f>
        <v>42.276575574133965</v>
      </c>
      <c r="K58" s="11">
        <f>'Low-price monthly forecast'!K23*'Model inputs'!B29</f>
        <v>46.085512551168605</v>
      </c>
      <c r="L58" s="11">
        <f>'Low-price monthly forecast'!L23*'Model inputs'!B29</f>
        <v>49.74209204912186</v>
      </c>
      <c r="M58" s="11">
        <f>'Low-price monthly forecast'!M23*'Model inputs'!B29</f>
        <v>53.25240836715698</v>
      </c>
      <c r="N58" s="11">
        <f>'Low-price monthly forecast'!N23*'Model inputs'!B29</f>
        <v>56.6223120324707</v>
      </c>
      <c r="O58" s="11">
        <f>'Low-price monthly forecast'!O23*'Model inputs'!B29</f>
        <v>59.85741955117187</v>
      </c>
      <c r="P58" s="11">
        <f>'Low-price monthly forecast'!P23*'Model inputs'!B29</f>
        <v>62.963122769125</v>
      </c>
      <c r="Q58" s="11">
        <f>'Low-price monthly forecast'!Q23*'Model inputs'!B29</f>
        <v>65.94459785836</v>
      </c>
      <c r="R58" s="11">
        <f>'Low-price monthly forecast'!R23*'Model inputs'!B29</f>
        <v>68.80681394402559</v>
      </c>
      <c r="S58" s="11">
        <f>'Low-price monthly forecast'!S23*'Model inputs'!B29</f>
        <v>71.55454138626457</v>
      </c>
    </row>
    <row r="59" outlineLevel="1">
      <c r="A59" t="inlineStr" s="8">
        <is>
          <t xml:space="preserve">Team</t>
        </is>
      </c>
      <c r="B59" s="11">
        <f>'Low-price monthly forecast'!B24*'Model inputs'!B30</f>
        <v>21</v>
      </c>
      <c r="C59" s="11">
        <f>'Low-price monthly forecast'!C24*'Model inputs'!B30</f>
        <v>41.160000000000004</v>
      </c>
      <c r="D59" s="11">
        <f>'Low-price monthly forecast'!D24*'Model inputs'!B30</f>
        <v>60.5136</v>
      </c>
      <c r="E59" s="11">
        <f>'Low-price monthly forecast'!E24*'Model inputs'!B30</f>
        <v>79.093056</v>
      </c>
      <c r="F59" s="11">
        <f>'Low-price monthly forecast'!F24*'Model inputs'!B30</f>
        <v>96.92933375999999</v>
      </c>
      <c r="G59" s="11">
        <f>'Low-price monthly forecast'!G24*'Model inputs'!B30</f>
        <v>114.05216040959999</v>
      </c>
      <c r="H59" s="11">
        <f>'Low-price monthly forecast'!H24*'Model inputs'!B30</f>
        <v>130.49007399321601</v>
      </c>
      <c r="I59" s="11">
        <f>'Low-price monthly forecast'!I24*'Model inputs'!B30</f>
        <v>146.27047103348735</v>
      </c>
      <c r="J59" s="11">
        <f>'Low-price monthly forecast'!J24*'Model inputs'!B30</f>
        <v>161.41965219214785</v>
      </c>
      <c r="K59" s="11">
        <f>'Low-price monthly forecast'!K24*'Model inputs'!B30</f>
        <v>175.96286610446197</v>
      </c>
      <c r="L59" s="11">
        <f>'Low-price monthly forecast'!L24*'Model inputs'!B30</f>
        <v>189.92435146028348</v>
      </c>
      <c r="M59" s="11">
        <f>'Low-price monthly forecast'!M24*'Model inputs'!B30</f>
        <v>203.3273774018721</v>
      </c>
      <c r="N59" s="11">
        <f>'Low-price monthly forecast'!N24*'Model inputs'!B30</f>
        <v>216.19428230579723</v>
      </c>
      <c r="O59" s="11">
        <f>'Low-price monthly forecast'!O24*'Model inputs'!B30</f>
        <v>228.54651101356535</v>
      </c>
      <c r="P59" s="11">
        <f>'Low-price monthly forecast'!P24*'Model inputs'!B30</f>
        <v>240.4046505730227</v>
      </c>
      <c r="Q59" s="11">
        <f>'Low-price monthly forecast'!Q24*'Model inputs'!B30</f>
        <v>251.78846455010182</v>
      </c>
      <c r="R59" s="11">
        <f>'Low-price monthly forecast'!R24*'Model inputs'!B30</f>
        <v>262.7169259680977</v>
      </c>
      <c r="S59" s="11">
        <f>'Low-price monthly forecast'!S24*'Model inputs'!B30</f>
        <v>273.20824892937384</v>
      </c>
    </row>
    <row r="60">
      <c r="A60" t="inlineStr" s="6">
        <is>
          <t xml:space="preserve">NW Cost of revenue</t>
        </is>
      </c>
      <c r="B60" s="10">
        <f>SUM('Low-price monthly forecast'!B61,'Low-price monthly forecast'!B62,'Low-price monthly forecast'!B63,'Low-price monthly forecast'!B64)</f>
        <v>339.1</v>
      </c>
      <c r="C60" s="10">
        <f>SUM('Low-price monthly forecast'!C61,'Low-price monthly forecast'!C62,'Low-price monthly forecast'!C63,'Low-price monthly forecast'!C64)</f>
        <v>664.636</v>
      </c>
      <c r="D60" s="10">
        <f>SUM('Low-price monthly forecast'!D61,'Low-price monthly forecast'!D62,'Low-price monthly forecast'!D63,'Low-price monthly forecast'!D64)</f>
        <v>977.15056</v>
      </c>
      <c r="E60" s="10">
        <f>SUM('Low-price monthly forecast'!E61,'Low-price monthly forecast'!E62,'Low-price monthly forecast'!E63,'Low-price monthly forecast'!E64)</f>
        <v>1277.1645376000001</v>
      </c>
      <c r="F60" s="10">
        <f>SUM('Low-price monthly forecast'!F61,'Low-price monthly forecast'!F62,'Low-price monthly forecast'!F63,'Low-price monthly forecast'!F64)</f>
        <v>1565.1779560960003</v>
      </c>
      <c r="G60" s="10">
        <f>SUM('Low-price monthly forecast'!G61,'Low-price monthly forecast'!G62,'Low-price monthly forecast'!G63,'Low-price monthly forecast'!G64)</f>
        <v>1841.6708378521603</v>
      </c>
      <c r="H60" s="10">
        <f>SUM('Low-price monthly forecast'!H61,'Low-price monthly forecast'!H62,'Low-price monthly forecast'!H63,'Low-price monthly forecast'!H64)</f>
        <v>2107.1040043380735</v>
      </c>
      <c r="I60" s="10">
        <f>SUM('Low-price monthly forecast'!I61,'Low-price monthly forecast'!I62,'Low-price monthly forecast'!I63,'Low-price monthly forecast'!I64)</f>
        <v>2361.9198441645513</v>
      </c>
      <c r="J60" s="10">
        <f>SUM('Low-price monthly forecast'!J61,'Low-price monthly forecast'!J62,'Low-price monthly forecast'!J63,'Low-price monthly forecast'!J64)</f>
        <v>2606.5430503979687</v>
      </c>
      <c r="K60" s="10">
        <f>SUM('Low-price monthly forecast'!K61,'Low-price monthly forecast'!K62,'Low-price monthly forecast'!K63,'Low-price monthly forecast'!K64)</f>
        <v>2841.38132838205</v>
      </c>
      <c r="L60" s="10">
        <f>SUM('Low-price monthly forecast'!L61,'Low-price monthly forecast'!L62,'Low-price monthly forecast'!L63,'Low-price monthly forecast'!L64)</f>
        <v>3066.8260752467677</v>
      </c>
      <c r="M60" s="10">
        <f>SUM('Low-price monthly forecast'!M61,'Low-price monthly forecast'!M62,'Low-price monthly forecast'!M63,'Low-price monthly forecast'!M64)</f>
        <v>3283.253032236897</v>
      </c>
      <c r="N60" s="10">
        <f>SUM('Low-price monthly forecast'!N61,'Low-price monthly forecast'!N62,'Low-price monthly forecast'!N63,'Low-price monthly forecast'!N64)</f>
        <v>3491.022910947421</v>
      </c>
      <c r="O60" s="10">
        <f>SUM('Low-price monthly forecast'!O61,'Low-price monthly forecast'!O62,'Low-price monthly forecast'!O63,'Low-price monthly forecast'!O64)</f>
        <v>3690.4819945095246</v>
      </c>
      <c r="P60" s="10">
        <f>SUM('Low-price monthly forecast'!P61,'Low-price monthly forecast'!P62,'Low-price monthly forecast'!P63,'Low-price monthly forecast'!P64)</f>
        <v>3881.9627147291435</v>
      </c>
      <c r="Q60" s="10">
        <f>SUM('Low-price monthly forecast'!Q61,'Low-price monthly forecast'!Q62,'Low-price monthly forecast'!Q63,'Low-price monthly forecast'!Q64)</f>
        <v>4065.7842061399774</v>
      </c>
      <c r="R60" s="10">
        <f>SUM('Low-price monthly forecast'!R61,'Low-price monthly forecast'!R62,'Low-price monthly forecast'!R63,'Low-price monthly forecast'!R64)</f>
        <v>4242.252837894379</v>
      </c>
      <c r="S60" s="10">
        <f>SUM('Low-price monthly forecast'!S61,'Low-price monthly forecast'!S62,'Low-price monthly forecast'!S63,'Low-price monthly forecast'!S64)</f>
        <v>4411.662724378603</v>
      </c>
    </row>
    <row r="61" outlineLevel="1">
      <c r="A61" t="inlineStr" s="8">
        <is>
          <t xml:space="preserve">Business</t>
        </is>
      </c>
      <c r="B61" s="11">
        <f>'Low-price monthly forecast'!B21*'Model inputs'!B17</f>
        <v>145.60000000000002</v>
      </c>
      <c r="C61" s="11">
        <f>'Low-price monthly forecast'!C21*'Model inputs'!B17</f>
        <v>285.37600000000003</v>
      </c>
      <c r="D61" s="11">
        <f>'Low-price monthly forecast'!D21*'Model inputs'!B17</f>
        <v>419.5609600000001</v>
      </c>
      <c r="E61" s="11">
        <f>'Low-price monthly forecast'!E21*'Model inputs'!B17</f>
        <v>548.3785216000001</v>
      </c>
      <c r="F61" s="11">
        <f>'Low-price monthly forecast'!F21*'Model inputs'!B17</f>
        <v>672.0433807360002</v>
      </c>
      <c r="G61" s="11">
        <f>'Low-price monthly forecast'!G21*'Model inputs'!B17</f>
        <v>790.7616455065602</v>
      </c>
      <c r="H61" s="11">
        <f>'Low-price monthly forecast'!H21*'Model inputs'!B17</f>
        <v>904.7311796862979</v>
      </c>
      <c r="I61" s="11">
        <f>'Low-price monthly forecast'!I21*'Model inputs'!B17</f>
        <v>1014.141932498846</v>
      </c>
      <c r="J61" s="11">
        <f>'Low-price monthly forecast'!J21*'Model inputs'!B17</f>
        <v>1119.1762551988922</v>
      </c>
      <c r="K61" s="11">
        <f>'Low-price monthly forecast'!K21*'Model inputs'!B17</f>
        <v>1220.0092049909363</v>
      </c>
      <c r="L61" s="11">
        <f>'Low-price monthly forecast'!L21*'Model inputs'!B17</f>
        <v>1316.808836791299</v>
      </c>
      <c r="M61" s="11">
        <f>'Low-price monthly forecast'!M21*'Model inputs'!B17</f>
        <v>1409.736483319647</v>
      </c>
      <c r="N61" s="11">
        <f>'Low-price monthly forecast'!N21*'Model inputs'!B17</f>
        <v>1498.9470239868613</v>
      </c>
      <c r="O61" s="11">
        <f>'Low-price monthly forecast'!O21*'Model inputs'!B17</f>
        <v>1584.5891430273869</v>
      </c>
      <c r="P61" s="11">
        <f>'Low-price monthly forecast'!P21*'Model inputs'!B17</f>
        <v>1666.8055773062913</v>
      </c>
      <c r="Q61" s="11">
        <f>'Low-price monthly forecast'!Q21*'Model inputs'!B17</f>
        <v>1745.7333542140395</v>
      </c>
      <c r="R61" s="11">
        <f>'Low-price monthly forecast'!R21*'Model inputs'!B17</f>
        <v>1821.504020045478</v>
      </c>
      <c r="S61" s="11">
        <f>'Low-price monthly forecast'!S21*'Model inputs'!B17</f>
        <v>1894.2438592436588</v>
      </c>
    </row>
    <row r="62" outlineLevel="1">
      <c r="A62" t="inlineStr" s="8">
        <is>
          <t xml:space="preserve">Community</t>
        </is>
      </c>
      <c r="B62" s="11">
        <f>'Low-price monthly forecast'!B22*'Model inputs'!B18</f>
        <v>0</v>
      </c>
      <c r="C62" s="11">
        <f>'Low-price monthly forecast'!C22*'Model inputs'!B18</f>
        <v>0</v>
      </c>
      <c r="D62" s="11">
        <f>'Low-price monthly forecast'!D22*'Model inputs'!B18</f>
        <v>0</v>
      </c>
      <c r="E62" s="11">
        <f>'Low-price monthly forecast'!E22*'Model inputs'!B18</f>
        <v>0</v>
      </c>
      <c r="F62" s="11">
        <f>'Low-price monthly forecast'!F22*'Model inputs'!B18</f>
        <v>0</v>
      </c>
      <c r="G62" s="11">
        <f>'Low-price monthly forecast'!G22*'Model inputs'!B18</f>
        <v>0</v>
      </c>
      <c r="H62" s="11">
        <f>'Low-price monthly forecast'!H22*'Model inputs'!B18</f>
        <v>0</v>
      </c>
      <c r="I62" s="11">
        <f>'Low-price monthly forecast'!I22*'Model inputs'!B18</f>
        <v>0</v>
      </c>
      <c r="J62" s="11">
        <f>'Low-price monthly forecast'!J22*'Model inputs'!B18</f>
        <v>0</v>
      </c>
      <c r="K62" s="11">
        <f>'Low-price monthly forecast'!K22*'Model inputs'!B18</f>
        <v>0</v>
      </c>
      <c r="L62" s="11">
        <f>'Low-price monthly forecast'!L22*'Model inputs'!B18</f>
        <v>0</v>
      </c>
      <c r="M62" s="11">
        <f>'Low-price monthly forecast'!M22*'Model inputs'!B18</f>
        <v>0</v>
      </c>
      <c r="N62" s="11">
        <f>'Low-price monthly forecast'!N22*'Model inputs'!B18</f>
        <v>0</v>
      </c>
      <c r="O62" s="11">
        <f>'Low-price monthly forecast'!O22*'Model inputs'!B18</f>
        <v>0</v>
      </c>
      <c r="P62" s="11">
        <f>'Low-price monthly forecast'!P22*'Model inputs'!B18</f>
        <v>0</v>
      </c>
      <c r="Q62" s="11">
        <f>'Low-price monthly forecast'!Q22*'Model inputs'!B18</f>
        <v>0</v>
      </c>
      <c r="R62" s="11">
        <f>'Low-price monthly forecast'!R22*'Model inputs'!B18</f>
        <v>0</v>
      </c>
      <c r="S62" s="11">
        <f>'Low-price monthly forecast'!S22*'Model inputs'!B18</f>
        <v>0</v>
      </c>
    </row>
    <row r="63" outlineLevel="1">
      <c r="A63" t="inlineStr" s="8">
        <is>
          <t xml:space="preserve">Starter</t>
        </is>
      </c>
      <c r="B63" s="11">
        <f>'Low-price monthly forecast'!B23*'Model inputs'!B19</f>
        <v>45.10000000000001</v>
      </c>
      <c r="C63" s="11">
        <f>'Low-price monthly forecast'!C23*'Model inputs'!B19</f>
        <v>88.396</v>
      </c>
      <c r="D63" s="11">
        <f>'Low-price monthly forecast'!D23*'Model inputs'!B19</f>
        <v>129.96016000000003</v>
      </c>
      <c r="E63" s="11">
        <f>'Low-price monthly forecast'!E23*'Model inputs'!B19</f>
        <v>169.86175360000001</v>
      </c>
      <c r="F63" s="11">
        <f>'Low-price monthly forecast'!F23*'Model inputs'!B19</f>
        <v>208.16728345600004</v>
      </c>
      <c r="G63" s="11">
        <f>'Low-price monthly forecast'!G23*'Model inputs'!B19</f>
        <v>244.94059211776002</v>
      </c>
      <c r="H63" s="11">
        <f>'Low-price monthly forecast'!H23*'Model inputs'!B19</f>
        <v>280.2429684330496</v>
      </c>
      <c r="I63" s="11">
        <f>'Low-price monthly forecast'!I23*'Model inputs'!B19</f>
        <v>314.13324969572767</v>
      </c>
      <c r="J63" s="11">
        <f>'Low-price monthly forecast'!J23*'Model inputs'!B19</f>
        <v>346.66791970789853</v>
      </c>
      <c r="K63" s="11">
        <f>'Low-price monthly forecast'!K23*'Model inputs'!B19</f>
        <v>377.9012029195826</v>
      </c>
      <c r="L63" s="11">
        <f>'Low-price monthly forecast'!L23*'Model inputs'!B19</f>
        <v>407.88515480279926</v>
      </c>
      <c r="M63" s="11">
        <f>'Low-price monthly forecast'!M23*'Model inputs'!B19</f>
        <v>436.6697486106873</v>
      </c>
      <c r="N63" s="11">
        <f>'Low-price monthly forecast'!N23*'Model inputs'!B19</f>
        <v>464.3029586662598</v>
      </c>
      <c r="O63" s="11">
        <f>'Low-price monthly forecast'!O23*'Model inputs'!B19</f>
        <v>490.8308403196094</v>
      </c>
      <c r="P63" s="11">
        <f>'Low-price monthly forecast'!P23*'Model inputs'!B19</f>
        <v>516.297606706825</v>
      </c>
      <c r="Q63" s="11">
        <f>'Low-price monthly forecast'!Q23*'Model inputs'!B19</f>
        <v>540.745702438552</v>
      </c>
      <c r="R63" s="11">
        <f>'Low-price monthly forecast'!R23*'Model inputs'!B19</f>
        <v>564.2158743410099</v>
      </c>
      <c r="S63" s="11">
        <f>'Low-price monthly forecast'!S23*'Model inputs'!B19</f>
        <v>586.7472393673696</v>
      </c>
    </row>
    <row r="64" outlineLevel="1">
      <c r="A64" t="inlineStr" s="8">
        <is>
          <t xml:space="preserve">Team</t>
        </is>
      </c>
      <c r="B64" s="11">
        <f>'Low-price monthly forecast'!B24*'Model inputs'!B20</f>
        <v>148.4</v>
      </c>
      <c r="C64" s="11">
        <f>'Low-price monthly forecast'!C24*'Model inputs'!B20</f>
        <v>290.864</v>
      </c>
      <c r="D64" s="11">
        <f>'Low-price monthly forecast'!D24*'Model inputs'!B20</f>
        <v>427.62944</v>
      </c>
      <c r="E64" s="11">
        <f>'Low-price monthly forecast'!E24*'Model inputs'!B20</f>
        <v>558.9242624</v>
      </c>
      <c r="F64" s="11">
        <f>'Low-price monthly forecast'!F24*'Model inputs'!B20</f>
        <v>684.9672919039999</v>
      </c>
      <c r="G64" s="11">
        <f>'Low-price monthly forecast'!G24*'Model inputs'!B20</f>
        <v>805.9686002278399</v>
      </c>
      <c r="H64" s="11">
        <f>'Low-price monthly forecast'!H24*'Model inputs'!B20</f>
        <v>922.1298562187263</v>
      </c>
      <c r="I64" s="11">
        <f>'Low-price monthly forecast'!I24*'Model inputs'!B20</f>
        <v>1033.6446619699773</v>
      </c>
      <c r="J64" s="11">
        <f>'Low-price monthly forecast'!J24*'Model inputs'!B20</f>
        <v>1140.6988754911781</v>
      </c>
      <c r="K64" s="11">
        <f>'Low-price monthly forecast'!K24*'Model inputs'!B20</f>
        <v>1243.4709204715311</v>
      </c>
      <c r="L64" s="11">
        <f>'Low-price monthly forecast'!L24*'Model inputs'!B20</f>
        <v>1342.1320836526697</v>
      </c>
      <c r="M64" s="11">
        <f>'Low-price monthly forecast'!M24*'Model inputs'!B20</f>
        <v>1436.8468003065627</v>
      </c>
      <c r="N64" s="11">
        <f>'Low-price monthly forecast'!N24*'Model inputs'!B20</f>
        <v>1527.7729282943003</v>
      </c>
      <c r="O64" s="11">
        <f>'Low-price monthly forecast'!O24*'Model inputs'!B20</f>
        <v>1615.0620111625283</v>
      </c>
      <c r="P64" s="11">
        <f>'Low-price monthly forecast'!P24*'Model inputs'!B20</f>
        <v>1698.8595307160272</v>
      </c>
      <c r="Q64" s="11">
        <f>'Low-price monthly forecast'!Q24*'Model inputs'!B20</f>
        <v>1779.305149487386</v>
      </c>
      <c r="R64" s="11">
        <f>'Low-price monthly forecast'!R24*'Model inputs'!B20</f>
        <v>1856.5329435078906</v>
      </c>
      <c r="S64" s="11">
        <f>'Low-price monthly forecast'!S24*'Model inputs'!B20</f>
        <v>1930.671625767575</v>
      </c>
    </row>
    <row r="65">
      <c r="A65" t="inlineStr" s="6">
        <is>
          <t xml:space="preserve">NW Gross profit</t>
        </is>
      </c>
      <c r="B65" s="10">
        <f>SUM('Low-price monthly forecast'!B66,'Low-price monthly forecast'!B67,'Low-price monthly forecast'!B68,'Low-price monthly forecast'!B69)</f>
        <v>814.8999999999999</v>
      </c>
      <c r="C65" s="10">
        <f>SUM('Low-price monthly forecast'!C66,'Low-price monthly forecast'!C67,'Low-price monthly forecast'!C68,'Low-price monthly forecast'!C69)</f>
        <v>1597.204</v>
      </c>
      <c r="D65" s="10">
        <f>SUM('Low-price monthly forecast'!D66,'Low-price monthly forecast'!D67,'Low-price monthly forecast'!D68,'Low-price monthly forecast'!D69)</f>
        <v>2348.21584</v>
      </c>
      <c r="E65" s="10">
        <f>SUM('Low-price monthly forecast'!E66,'Low-price monthly forecast'!E67,'Low-price monthly forecast'!E68,'Low-price monthly forecast'!E69)</f>
        <v>3069.1872064</v>
      </c>
      <c r="F65" s="10">
        <f>SUM('Low-price monthly forecast'!F66,'Low-price monthly forecast'!F67,'Low-price monthly forecast'!F68,'Low-price monthly forecast'!F69)</f>
        <v>3761.319718144</v>
      </c>
      <c r="G65" s="10">
        <f>SUM('Low-price monthly forecast'!G66,'Low-price monthly forecast'!G67,'Low-price monthly forecast'!G68,'Low-price monthly forecast'!G69)</f>
        <v>4425.76692941824</v>
      </c>
      <c r="H65" s="10">
        <f>SUM('Low-price monthly forecast'!H66,'Low-price monthly forecast'!H67,'Low-price monthly forecast'!H68,'Low-price monthly forecast'!H69)</f>
        <v>5063.63625224151</v>
      </c>
      <c r="I65" s="10">
        <f>SUM('Low-price monthly forecast'!I66,'Low-price monthly forecast'!I67,'Low-price monthly forecast'!I68,'Low-price monthly forecast'!I69)</f>
        <v>5675.9908021518495</v>
      </c>
      <c r="J65" s="10">
        <f>SUM('Low-price monthly forecast'!J66,'Low-price monthly forecast'!J67,'Low-price monthly forecast'!J68,'Low-price monthly forecast'!J69)</f>
        <v>6263.851170065776</v>
      </c>
      <c r="K65" s="10">
        <f>SUM('Low-price monthly forecast'!K66,'Low-price monthly forecast'!K67,'Low-price monthly forecast'!K68,'Low-price monthly forecast'!K69)</f>
        <v>6828.197123263144</v>
      </c>
      <c r="L65" s="10">
        <f>SUM('Low-price monthly forecast'!L66,'Low-price monthly forecast'!L67,'Low-price monthly forecast'!L68,'Low-price monthly forecast'!L69)</f>
        <v>7369.969238332618</v>
      </c>
      <c r="M65" s="10">
        <f>SUM('Low-price monthly forecast'!M66,'Low-price monthly forecast'!M67,'Low-price monthly forecast'!M68,'Low-price monthly forecast'!M69)</f>
        <v>7890.070468799313</v>
      </c>
      <c r="N65" s="10">
        <f>SUM('Low-price monthly forecast'!N66,'Low-price monthly forecast'!N67,'Low-price monthly forecast'!N68,'Low-price monthly forecast'!N69)</f>
        <v>8389.367650047341</v>
      </c>
      <c r="O65" s="10">
        <f>SUM('Low-price monthly forecast'!O66,'Low-price monthly forecast'!O67,'Low-price monthly forecast'!O68,'Low-price monthly forecast'!O69)</f>
        <v>8868.692944045448</v>
      </c>
      <c r="P65" s="10">
        <f>SUM('Low-price monthly forecast'!P66,'Low-price monthly forecast'!P67,'Low-price monthly forecast'!P68,'Low-price monthly forecast'!P69)</f>
        <v>9328.845226283629</v>
      </c>
      <c r="Q65" s="10">
        <f>SUM('Low-price monthly forecast'!Q66,'Low-price monthly forecast'!Q67,'Low-price monthly forecast'!Q68,'Low-price monthly forecast'!Q69)</f>
        <v>9770.591417232283</v>
      </c>
      <c r="R65" s="10">
        <f>SUM('Low-price monthly forecast'!R66,'Low-price monthly forecast'!R67,'Low-price monthly forecast'!R68,'Low-price monthly forecast'!R69)</f>
        <v>10194.667760542992</v>
      </c>
      <c r="S65" s="10">
        <f>SUM('Low-price monthly forecast'!S66,'Low-price monthly forecast'!S67,'Low-price monthly forecast'!S68,'Low-price monthly forecast'!S69)</f>
        <v>10601.781050121272</v>
      </c>
    </row>
    <row r="66" outlineLevel="1">
      <c r="A66" t="inlineStr" s="8">
        <is>
          <t xml:space="preserve">Business</t>
        </is>
      </c>
      <c r="B66" s="11">
        <f>'Low-price monthly forecast'!B21*'Model inputs'!B40</f>
        <v>478.4</v>
      </c>
      <c r="C66" s="11">
        <f>'Low-price monthly forecast'!C21*'Model inputs'!B40</f>
        <v>937.664</v>
      </c>
      <c r="D66" s="11">
        <f>'Low-price monthly forecast'!D21*'Model inputs'!B40</f>
        <v>1378.55744</v>
      </c>
      <c r="E66" s="11">
        <f>'Low-price monthly forecast'!E21*'Model inputs'!B40</f>
        <v>1801.8151424</v>
      </c>
      <c r="F66" s="11">
        <f>'Low-price monthly forecast'!F21*'Model inputs'!B40</f>
        <v>2208.142536704</v>
      </c>
      <c r="G66" s="11">
        <f>'Low-price monthly forecast'!G21*'Model inputs'!B40</f>
        <v>2598.2168352358403</v>
      </c>
      <c r="H66" s="11">
        <f>'Low-price monthly forecast'!H21*'Model inputs'!B40</f>
        <v>2972.6881618264065</v>
      </c>
      <c r="I66" s="11">
        <f>'Low-price monthly forecast'!I21*'Model inputs'!B40</f>
        <v>3332.18063535335</v>
      </c>
      <c r="J66" s="11">
        <f>'Low-price monthly forecast'!J21*'Model inputs'!B40</f>
        <v>3677.2934099392164</v>
      </c>
      <c r="K66" s="11">
        <f>'Low-price monthly forecast'!K21*'Model inputs'!B40</f>
        <v>4008.601673541647</v>
      </c>
      <c r="L66" s="11">
        <f>'Low-price monthly forecast'!L21*'Model inputs'!B40</f>
        <v>4326.657606599982</v>
      </c>
      <c r="M66" s="11">
        <f>'Low-price monthly forecast'!M21*'Model inputs'!B40</f>
        <v>4631.991302335982</v>
      </c>
      <c r="N66" s="11">
        <f>'Low-price monthly forecast'!N21*'Model inputs'!B40</f>
        <v>4925.111650242543</v>
      </c>
      <c r="O66" s="11">
        <f>'Low-price monthly forecast'!O21*'Model inputs'!B40</f>
        <v>5206.507184232842</v>
      </c>
      <c r="P66" s="11">
        <f>'Low-price monthly forecast'!P21*'Model inputs'!B40</f>
        <v>5476.646896863527</v>
      </c>
      <c r="Q66" s="11">
        <f>'Low-price monthly forecast'!Q21*'Model inputs'!B40</f>
        <v>5735.981020988986</v>
      </c>
      <c r="R66" s="11">
        <f>'Low-price monthly forecast'!R21*'Model inputs'!B40</f>
        <v>5984.941780149426</v>
      </c>
      <c r="S66" s="11">
        <f>'Low-price monthly forecast'!S21*'Model inputs'!B40</f>
        <v>6223.944108943449</v>
      </c>
    </row>
    <row r="67" outlineLevel="1">
      <c r="A67" t="inlineStr" s="8">
        <is>
          <t xml:space="preserve">Community</t>
        </is>
      </c>
      <c r="B67" s="11">
        <f>'Low-price monthly forecast'!B22*'Model inputs'!B41</f>
        <v>0</v>
      </c>
      <c r="C67" s="11">
        <f>'Low-price monthly forecast'!C22*'Model inputs'!B41</f>
        <v>0</v>
      </c>
      <c r="D67" s="11">
        <f>'Low-price monthly forecast'!D22*'Model inputs'!B41</f>
        <v>0</v>
      </c>
      <c r="E67" s="11">
        <f>'Low-price monthly forecast'!E22*'Model inputs'!B41</f>
        <v>0</v>
      </c>
      <c r="F67" s="11">
        <f>'Low-price monthly forecast'!F22*'Model inputs'!B41</f>
        <v>0</v>
      </c>
      <c r="G67" s="11">
        <f>'Low-price monthly forecast'!G22*'Model inputs'!B41</f>
        <v>0</v>
      </c>
      <c r="H67" s="11">
        <f>'Low-price monthly forecast'!H22*'Model inputs'!B41</f>
        <v>0</v>
      </c>
      <c r="I67" s="11">
        <f>'Low-price monthly forecast'!I22*'Model inputs'!B41</f>
        <v>0</v>
      </c>
      <c r="J67" s="11">
        <f>'Low-price monthly forecast'!J22*'Model inputs'!B41</f>
        <v>0</v>
      </c>
      <c r="K67" s="11">
        <f>'Low-price monthly forecast'!K22*'Model inputs'!B41</f>
        <v>0</v>
      </c>
      <c r="L67" s="11">
        <f>'Low-price monthly forecast'!L22*'Model inputs'!B41</f>
        <v>0</v>
      </c>
      <c r="M67" s="11">
        <f>'Low-price monthly forecast'!M22*'Model inputs'!B41</f>
        <v>0</v>
      </c>
      <c r="N67" s="11">
        <f>'Low-price monthly forecast'!N22*'Model inputs'!B41</f>
        <v>0</v>
      </c>
      <c r="O67" s="11">
        <f>'Low-price monthly forecast'!O22*'Model inputs'!B41</f>
        <v>0</v>
      </c>
      <c r="P67" s="11">
        <f>'Low-price monthly forecast'!P22*'Model inputs'!B41</f>
        <v>0</v>
      </c>
      <c r="Q67" s="11">
        <f>'Low-price monthly forecast'!Q22*'Model inputs'!B41</f>
        <v>0</v>
      </c>
      <c r="R67" s="11">
        <f>'Low-price monthly forecast'!R22*'Model inputs'!B41</f>
        <v>0</v>
      </c>
      <c r="S67" s="11">
        <f>'Low-price monthly forecast'!S22*'Model inputs'!B41</f>
        <v>0</v>
      </c>
    </row>
    <row r="68" outlineLevel="1">
      <c r="A68" t="inlineStr" s="8">
        <is>
          <t xml:space="preserve">Starter</t>
        </is>
      </c>
      <c r="B68" s="11">
        <f>'Low-price monthly forecast'!B23*'Model inputs'!B42</f>
        <v>64.89999999999999</v>
      </c>
      <c r="C68" s="11">
        <f>'Low-price monthly forecast'!C23*'Model inputs'!B42</f>
        <v>127.20399999999998</v>
      </c>
      <c r="D68" s="11">
        <f>'Low-price monthly forecast'!D23*'Model inputs'!B42</f>
        <v>187.01584</v>
      </c>
      <c r="E68" s="11">
        <f>'Low-price monthly forecast'!E23*'Model inputs'!B42</f>
        <v>244.43520639999997</v>
      </c>
      <c r="F68" s="11">
        <f>'Low-price monthly forecast'!F23*'Model inputs'!B42</f>
        <v>299.557798144</v>
      </c>
      <c r="G68" s="11">
        <f>'Low-price monthly forecast'!G23*'Model inputs'!B42</f>
        <v>352.47548621823995</v>
      </c>
      <c r="H68" s="11">
        <f>'Low-price monthly forecast'!H23*'Model inputs'!B42</f>
        <v>403.27646676951036</v>
      </c>
      <c r="I68" s="11">
        <f>'Low-price monthly forecast'!I23*'Model inputs'!B42</f>
        <v>452.04540809873</v>
      </c>
      <c r="J68" s="11">
        <f>'Low-price monthly forecast'!J23*'Model inputs'!B42</f>
        <v>498.86359177478073</v>
      </c>
      <c r="K68" s="11">
        <f>'Low-price monthly forecast'!K23*'Model inputs'!B42</f>
        <v>543.8090481037895</v>
      </c>
      <c r="L68" s="11">
        <f>'Low-price monthly forecast'!L23*'Model inputs'!B42</f>
        <v>586.9566861796379</v>
      </c>
      <c r="M68" s="11">
        <f>'Low-price monthly forecast'!M23*'Model inputs'!B42</f>
        <v>628.3784187324524</v>
      </c>
      <c r="N68" s="11">
        <f>'Low-price monthly forecast'!N23*'Model inputs'!B42</f>
        <v>668.1432819831542</v>
      </c>
      <c r="O68" s="11">
        <f>'Low-price monthly forecast'!O23*'Model inputs'!B42</f>
        <v>706.317550703828</v>
      </c>
      <c r="P68" s="11">
        <f>'Low-price monthly forecast'!P23*'Model inputs'!B42</f>
        <v>742.964848675675</v>
      </c>
      <c r="Q68" s="11">
        <f>'Low-price monthly forecast'!Q23*'Model inputs'!B42</f>
        <v>778.1462547286479</v>
      </c>
      <c r="R68" s="11">
        <f>'Low-price monthly forecast'!R23*'Model inputs'!B42</f>
        <v>811.9204045395019</v>
      </c>
      <c r="S68" s="11">
        <f>'Low-price monthly forecast'!S23*'Model inputs'!B42</f>
        <v>844.3435883579219</v>
      </c>
    </row>
    <row r="69" outlineLevel="1">
      <c r="A69" t="inlineStr" s="8">
        <is>
          <t xml:space="preserve">Team</t>
        </is>
      </c>
      <c r="B69" s="11">
        <f>'Low-price monthly forecast'!B24*'Model inputs'!B43</f>
        <v>271.59999999999997</v>
      </c>
      <c r="C69" s="11">
        <f>'Low-price monthly forecast'!C24*'Model inputs'!B43</f>
        <v>532.336</v>
      </c>
      <c r="D69" s="11">
        <f>'Low-price monthly forecast'!D24*'Model inputs'!B43</f>
        <v>782.6425599999999</v>
      </c>
      <c r="E69" s="11">
        <f>'Low-price monthly forecast'!E24*'Model inputs'!B43</f>
        <v>1022.9368575999999</v>
      </c>
      <c r="F69" s="11">
        <f>'Low-price monthly forecast'!F24*'Model inputs'!B43</f>
        <v>1253.6193832959998</v>
      </c>
      <c r="G69" s="11">
        <f>'Low-price monthly forecast'!G24*'Model inputs'!B43</f>
        <v>1475.07460796416</v>
      </c>
      <c r="H69" s="11">
        <f>'Low-price monthly forecast'!H24*'Model inputs'!B43</f>
        <v>1687.6716236455934</v>
      </c>
      <c r="I69" s="11">
        <f>'Low-price monthly forecast'!I24*'Model inputs'!B43</f>
        <v>1891.7647586997696</v>
      </c>
      <c r="J69" s="11">
        <f>'Low-price monthly forecast'!J24*'Model inputs'!B43</f>
        <v>2087.694168351779</v>
      </c>
      <c r="K69" s="11">
        <f>'Low-price monthly forecast'!K24*'Model inputs'!B43</f>
        <v>2275.7864016177077</v>
      </c>
      <c r="L69" s="11">
        <f>'Low-price monthly forecast'!L24*'Model inputs'!B43</f>
        <v>2456.354945552999</v>
      </c>
      <c r="M69" s="11">
        <f>'Low-price monthly forecast'!M24*'Model inputs'!B43</f>
        <v>2629.700747730879</v>
      </c>
      <c r="N69" s="11">
        <f>'Low-price monthly forecast'!N24*'Model inputs'!B43</f>
        <v>2796.112717821644</v>
      </c>
      <c r="O69" s="11">
        <f>'Low-price monthly forecast'!O24*'Model inputs'!B43</f>
        <v>2955.868209108778</v>
      </c>
      <c r="P69" s="11">
        <f>'Low-price monthly forecast'!P24*'Model inputs'!B43</f>
        <v>3109.2334807444267</v>
      </c>
      <c r="Q69" s="11">
        <f>'Low-price monthly forecast'!Q24*'Model inputs'!B43</f>
        <v>3256.46414151465</v>
      </c>
      <c r="R69" s="11">
        <f>'Low-price monthly forecast'!R24*'Model inputs'!B43</f>
        <v>3397.8055758540636</v>
      </c>
      <c r="S69" s="11">
        <f>'Low-price monthly forecast'!S24*'Model inputs'!B43</f>
        <v>3533.4933528199012</v>
      </c>
    </row>
    <row r="70">
      <c r="A70" t="inlineStr" s="12">
        <is>
          <t xml:space="preserve">NW Gross margin</t>
        </is>
      </c>
      <c r="B70" s="13">
        <f>IFERROR('Low-price monthly forecast'!B65/'Low-price monthly forecast'!B35,"")</f>
        <v>0.7061525129982668</v>
      </c>
      <c r="C70" s="13">
        <f>IFERROR('Low-price monthly forecast'!C65/'Low-price monthly forecast'!C35,"")</f>
        <v>0.7061525129982669</v>
      </c>
      <c r="D70" s="13">
        <f>IFERROR('Low-price monthly forecast'!D65/'Low-price monthly forecast'!D35,"")</f>
        <v>0.7061525129982669</v>
      </c>
      <c r="E70" s="13">
        <f>IFERROR('Low-price monthly forecast'!E65/'Low-price monthly forecast'!E35,"")</f>
        <v>0.7061525129982668</v>
      </c>
      <c r="F70" s="13">
        <f>IFERROR('Low-price monthly forecast'!F65/'Low-price monthly forecast'!F35,"")</f>
        <v>0.7061525129982669</v>
      </c>
      <c r="G70" s="13">
        <f>IFERROR('Low-price monthly forecast'!G65/'Low-price monthly forecast'!G35,"")</f>
        <v>0.7061525129982668</v>
      </c>
      <c r="H70" s="13">
        <f>IFERROR('Low-price monthly forecast'!H65/'Low-price monthly forecast'!H35,"")</f>
        <v>0.7061525129982668</v>
      </c>
      <c r="I70" s="13">
        <f>IFERROR('Low-price monthly forecast'!I65/'Low-price monthly forecast'!I35,"")</f>
        <v>0.7061525129982668</v>
      </c>
      <c r="J70" s="13">
        <f>IFERROR('Low-price monthly forecast'!J65/'Low-price monthly forecast'!J35,"")</f>
        <v>0.7061525129982669</v>
      </c>
      <c r="K70" s="13">
        <f>IFERROR('Low-price monthly forecast'!K65/'Low-price monthly forecast'!K35,"")</f>
        <v>0.7061525129982668</v>
      </c>
      <c r="L70" s="13">
        <f>IFERROR('Low-price monthly forecast'!L65/'Low-price monthly forecast'!L35,"")</f>
        <v>0.7061525129982669</v>
      </c>
      <c r="M70" s="13">
        <f>IFERROR('Low-price monthly forecast'!M65/'Low-price monthly forecast'!M35,"")</f>
        <v>0.7061525129982668</v>
      </c>
      <c r="N70" s="13">
        <f>IFERROR('Low-price monthly forecast'!N65/'Low-price monthly forecast'!N35,"")</f>
        <v>0.706152512998267</v>
      </c>
      <c r="O70" s="13">
        <f>IFERROR('Low-price monthly forecast'!O65/'Low-price monthly forecast'!O35,"")</f>
        <v>0.7061525129982669</v>
      </c>
      <c r="P70" s="13">
        <f>IFERROR('Low-price monthly forecast'!P65/'Low-price monthly forecast'!P35,"")</f>
        <v>0.7061525129982669</v>
      </c>
      <c r="Q70" s="13">
        <f>IFERROR('Low-price monthly forecast'!Q65/'Low-price monthly forecast'!Q35,"")</f>
        <v>0.7061525129982668</v>
      </c>
      <c r="R70" s="13">
        <f>IFERROR('Low-price monthly forecast'!R65/'Low-price monthly forecast'!R35,"")</f>
        <v>0.706152512998267</v>
      </c>
      <c r="S70" s="13">
        <f>IFERROR('Low-price monthly forecast'!S65/'Low-price monthly forecast'!S35,"")</f>
        <v>0.7061525129982669</v>
      </c>
    </row>
    <row r="71">
      <c r="A71" t="inlineStr" s="12">
        <is>
          <t xml:space="preserve">NW Fixed expenses</t>
        </is>
      </c>
      <c r="B71" s="11">
        <f>IF('Model inputs'!B32="","",'Model inputs'!B32)</f>
        <v>4050</v>
      </c>
      <c r="C71" s="11">
        <f>IF('Model inputs'!B32="","",'Model inputs'!B32)</f>
        <v>4050</v>
      </c>
      <c r="D71" s="11">
        <f>IF('Model inputs'!B32="","",'Model inputs'!B32)</f>
        <v>4050</v>
      </c>
      <c r="E71" s="11">
        <f>IF('Model inputs'!B32="","",'Model inputs'!B32)</f>
        <v>4050</v>
      </c>
      <c r="F71" s="11">
        <f>IF('Model inputs'!B32="","",'Model inputs'!B32)</f>
        <v>4050</v>
      </c>
      <c r="G71" s="11">
        <f>IF('Model inputs'!B32="","",'Model inputs'!B32)</f>
        <v>4050</v>
      </c>
      <c r="H71" s="11">
        <f>IF('Model inputs'!B32="","",'Model inputs'!B32)</f>
        <v>4050</v>
      </c>
      <c r="I71" s="11">
        <f>IF('Model inputs'!B32="","",'Model inputs'!B32)</f>
        <v>4050</v>
      </c>
      <c r="J71" s="11">
        <f>IF('Model inputs'!B32="","",'Model inputs'!B32)</f>
        <v>4050</v>
      </c>
      <c r="K71" s="11">
        <f>IF('Model inputs'!B32="","",'Model inputs'!B32)</f>
        <v>4050</v>
      </c>
      <c r="L71" s="11">
        <f>IF('Model inputs'!B32="","",'Model inputs'!B32)</f>
        <v>4050</v>
      </c>
      <c r="M71" s="11">
        <f>IF('Model inputs'!B32="","",'Model inputs'!B32)</f>
        <v>4050</v>
      </c>
      <c r="N71" s="11">
        <f>IF('Model inputs'!B32="","",'Model inputs'!B32)</f>
        <v>4050</v>
      </c>
      <c r="O71" s="11">
        <f>IF('Model inputs'!B32="","",'Model inputs'!B32)</f>
        <v>4050</v>
      </c>
      <c r="P71" s="11">
        <f>IF('Model inputs'!B32="","",'Model inputs'!B32)</f>
        <v>4050</v>
      </c>
      <c r="Q71" s="11">
        <f>IF('Model inputs'!B32="","",'Model inputs'!B32)</f>
        <v>4050</v>
      </c>
      <c r="R71" s="11">
        <f>IF('Model inputs'!B32="","",'Model inputs'!B32)</f>
        <v>4050</v>
      </c>
      <c r="S71" s="11">
        <f>IF('Model inputs'!B32="","",'Model inputs'!B32)</f>
        <v>4050</v>
      </c>
    </row>
    <row r="72">
      <c r="A72" t="inlineStr" s="12">
        <is>
          <t xml:space="preserve">NW Acquisition expenses</t>
        </is>
      </c>
      <c r="B72" s="11">
        <f>IF('Model inputs'!B8="","",'Model inputs'!B8)</f>
        <v>600</v>
      </c>
      <c r="C72" s="11">
        <f>IF('Model inputs'!B8="","",'Model inputs'!B8)</f>
        <v>600</v>
      </c>
      <c r="D72" s="11">
        <f>IF('Model inputs'!B8="","",'Model inputs'!B8)</f>
        <v>600</v>
      </c>
      <c r="E72" s="11">
        <f>IF('Model inputs'!B8="","",'Model inputs'!B8)</f>
        <v>600</v>
      </c>
      <c r="F72" s="11">
        <f>IF('Model inputs'!B8="","",'Model inputs'!B8)</f>
        <v>600</v>
      </c>
      <c r="G72" s="11">
        <f>IF('Model inputs'!B8="","",'Model inputs'!B8)</f>
        <v>600</v>
      </c>
      <c r="H72" s="11">
        <f>IF('Model inputs'!B8="","",'Model inputs'!B8)</f>
        <v>600</v>
      </c>
      <c r="I72" s="11">
        <f>IF('Model inputs'!B8="","",'Model inputs'!B8)</f>
        <v>600</v>
      </c>
      <c r="J72" s="11">
        <f>IF('Model inputs'!B8="","",'Model inputs'!B8)</f>
        <v>600</v>
      </c>
      <c r="K72" s="11">
        <f>IF('Model inputs'!B8="","",'Model inputs'!B8)</f>
        <v>600</v>
      </c>
      <c r="L72" s="11">
        <f>IF('Model inputs'!B8="","",'Model inputs'!B8)</f>
        <v>600</v>
      </c>
      <c r="M72" s="11">
        <f>IF('Model inputs'!B8="","",'Model inputs'!B8)</f>
        <v>600</v>
      </c>
      <c r="N72" s="11">
        <f>IF('Model inputs'!B8="","",'Model inputs'!B8)</f>
        <v>600</v>
      </c>
      <c r="O72" s="11">
        <f>IF('Model inputs'!B8="","",'Model inputs'!B8)</f>
        <v>600</v>
      </c>
      <c r="P72" s="11">
        <f>IF('Model inputs'!B8="","",'Model inputs'!B8)</f>
        <v>600</v>
      </c>
      <c r="Q72" s="11">
        <f>IF('Model inputs'!B8="","",'Model inputs'!B8)</f>
        <v>600</v>
      </c>
      <c r="R72" s="11">
        <f>IF('Model inputs'!B8="","",'Model inputs'!B8)</f>
        <v>600</v>
      </c>
      <c r="S72" s="11">
        <f>IF('Model inputs'!B8="","",'Model inputs'!B8)</f>
        <v>600</v>
      </c>
    </row>
    <row r="73">
      <c r="A73" t="inlineStr" s="12">
        <is>
          <t xml:space="preserve">NW Operating profit</t>
        </is>
      </c>
      <c r="B73" s="11">
        <f>'Low-price monthly forecast'!B65-'Low-price monthly forecast'!B71-'Low-price monthly forecast'!B72</f>
        <v>-3835.1000000000004</v>
      </c>
      <c r="C73" s="11">
        <f>'Low-price monthly forecast'!C65-'Low-price monthly forecast'!C71-'Low-price monthly forecast'!C72</f>
        <v>-3052.7960000000003</v>
      </c>
      <c r="D73" s="11">
        <f>'Low-price monthly forecast'!D65-'Low-price monthly forecast'!D71-'Low-price monthly forecast'!D72</f>
        <v>-2301.78416</v>
      </c>
      <c r="E73" s="11">
        <f>'Low-price monthly forecast'!E65-'Low-price monthly forecast'!E71-'Low-price monthly forecast'!E72</f>
        <v>-1580.8127936</v>
      </c>
      <c r="F73" s="11">
        <f>'Low-price monthly forecast'!F65-'Low-price monthly forecast'!F71-'Low-price monthly forecast'!F72</f>
        <v>-888.680281856</v>
      </c>
      <c r="G73" s="11">
        <f>'Low-price monthly forecast'!G65-'Low-price monthly forecast'!G71-'Low-price monthly forecast'!G72</f>
        <v>-224.23307058176033</v>
      </c>
      <c r="H73" s="11">
        <f>'Low-price monthly forecast'!H65-'Low-price monthly forecast'!H71-'Low-price monthly forecast'!H72</f>
        <v>413.6362522415102</v>
      </c>
      <c r="I73" s="11">
        <f>'Low-price monthly forecast'!I65-'Low-price monthly forecast'!I71-'Low-price monthly forecast'!I72</f>
        <v>1025.9908021518495</v>
      </c>
      <c r="J73" s="11">
        <f>'Low-price monthly forecast'!J65-'Low-price monthly forecast'!J71-'Low-price monthly forecast'!J72</f>
        <v>1613.8511700657764</v>
      </c>
      <c r="K73" s="11">
        <f>'Low-price monthly forecast'!K65-'Low-price monthly forecast'!K71-'Low-price monthly forecast'!K72</f>
        <v>2178.197123263144</v>
      </c>
      <c r="L73" s="11">
        <f>'Low-price monthly forecast'!L65-'Low-price monthly forecast'!L71-'Low-price monthly forecast'!L72</f>
        <v>2719.9692383326183</v>
      </c>
      <c r="M73" s="11">
        <f>'Low-price monthly forecast'!M65-'Low-price monthly forecast'!M71-'Low-price monthly forecast'!M72</f>
        <v>3240.070468799313</v>
      </c>
      <c r="N73" s="11">
        <f>'Low-price monthly forecast'!N65-'Low-price monthly forecast'!N71-'Low-price monthly forecast'!N72</f>
        <v>3739.367650047341</v>
      </c>
      <c r="O73" s="11">
        <f>'Low-price monthly forecast'!O65-'Low-price monthly forecast'!O71-'Low-price monthly forecast'!O72</f>
        <v>4218.692944045448</v>
      </c>
      <c r="P73" s="11">
        <f>'Low-price monthly forecast'!P65-'Low-price monthly forecast'!P71-'Low-price monthly forecast'!P72</f>
        <v>4678.845226283629</v>
      </c>
      <c r="Q73" s="11">
        <f>'Low-price monthly forecast'!Q65-'Low-price monthly forecast'!Q71-'Low-price monthly forecast'!Q72</f>
        <v>5120.591417232283</v>
      </c>
      <c r="R73" s="11">
        <f>'Low-price monthly forecast'!R65-'Low-price monthly forecast'!R71-'Low-price monthly forecast'!R72</f>
        <v>5544.667760542992</v>
      </c>
      <c r="S73" s="11">
        <f>'Low-price monthly forecast'!S65-'Low-price monthly forecast'!S71-'Low-price monthly forecast'!S72</f>
        <v>5951.781050121272</v>
      </c>
    </row>
    <row r="74">
      <c r="A74" t="inlineStr" s="12">
        <is>
          <t xml:space="preserve">NW Cash balance</t>
        </is>
      </c>
      <c r="B74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inputs'!K15)))+'Low-price monthly forecast'!B73</f>
        <v>11164.9</v>
      </c>
      <c r="C74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forecast'!B74="","",'Low-price monthly forecast'!B74))="",0,IF(IF(IF(ISERROR(DATE(2026,11,1)='Model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forecast'!B74="","",'Low-price monthly forecast'!B74)))+'Low-price monthly forecast'!C73</f>
        <v>8112.103999999999</v>
      </c>
      <c r="D74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forecast'!C74="","",'Low-price monthly forecast'!C74))="",0,IF(IF(IF(ISERROR(DATE(2026,12,1)='Model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forecast'!C74="","",'Low-price monthly forecast'!C74)))+'Low-price monthly forecast'!D73</f>
        <v>5810.319839999999</v>
      </c>
      <c r="E74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forecast'!D74="","",'Low-price monthly forecast'!D74))="",0,IF(IF(IF(ISERROR(DATE(2027,1,1)='Model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forecast'!D74="","",'Low-price monthly forecast'!D74)))+'Low-price monthly forecast'!E73</f>
        <v>4229.507046399999</v>
      </c>
      <c r="F74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forecast'!E74="","",'Low-price monthly forecast'!E74))="",0,IF(IF(IF(ISERROR(DATE(2027,2,1)='Model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forecast'!E74="","",'Low-price monthly forecast'!E74)))+'Low-price monthly forecast'!F73</f>
        <v>3340.826764543999</v>
      </c>
      <c r="G74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forecast'!F74="","",'Low-price monthly forecast'!F74))="",0,IF(IF(IF(ISERROR(DATE(2027,3,1)='Model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forecast'!F74="","",'Low-price monthly forecast'!F74)))+'Low-price monthly forecast'!G73</f>
        <v>3116.593693962239</v>
      </c>
      <c r="H74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forecast'!G74="","",'Low-price monthly forecast'!G74))="",0,IF(IF(IF(ISERROR(DATE(2027,4,1)='Model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forecast'!G74="","",'Low-price monthly forecast'!G74)))+'Low-price monthly forecast'!H73</f>
        <v>3530.229946203749</v>
      </c>
      <c r="I74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forecast'!H74="","",'Low-price monthly forecast'!H74))="",0,IF(IF(IF(ISERROR(DATE(2027,5,1)='Model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forecast'!H74="","",'Low-price monthly forecast'!H74)))+'Low-price monthly forecast'!I73</f>
        <v>4556.2207483555985</v>
      </c>
      <c r="J74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forecast'!I74="","",'Low-price monthly forecast'!I74))="",0,IF(IF(IF(ISERROR(DATE(2027,6,1)='Model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forecast'!I74="","",'Low-price monthly forecast'!I74)))+'Low-price monthly forecast'!J73</f>
        <v>6170.071918421375</v>
      </c>
      <c r="K74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forecast'!J74="","",'Low-price monthly forecast'!J74))="",0,IF(IF(IF(ISERROR(DATE(2027,7,1)='Model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forecast'!J74="","",'Low-price monthly forecast'!J74)))+'Low-price monthly forecast'!K73</f>
        <v>8348.269041684518</v>
      </c>
      <c r="L74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forecast'!K74="","",'Low-price monthly forecast'!K74))="",0,IF(IF(IF(ISERROR(DATE(2027,8,1)='Model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forecast'!K74="","",'Low-price monthly forecast'!K74)))+'Low-price monthly forecast'!L73</f>
        <v>11068.238280017136</v>
      </c>
      <c r="M74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forecast'!L74="","",'Low-price monthly forecast'!L74))="",0,IF(IF(IF(ISERROR(DATE(2027,9,1)='Model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forecast'!L74="","",'Low-price monthly forecast'!L74)))+'Low-price monthly forecast'!M73</f>
        <v>14308.30874881645</v>
      </c>
      <c r="N74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forecast'!M74="","",'Low-price monthly forecast'!M74))="",0,IF(IF(IF(ISERROR(DATE(2027,10,1)='Model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forecast'!M74="","",'Low-price monthly forecast'!M74)))+'Low-price monthly forecast'!N73</f>
        <v>18047.67639886379</v>
      </c>
      <c r="O74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forecast'!N74="","",'Low-price monthly forecast'!N74))="",0,IF(IF(IF(ISERROR(DATE(2027,11,1)='Model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forecast'!N74="","",'Low-price monthly forecast'!N74)))+'Low-price monthly forecast'!O73</f>
        <v>22266.36934290924</v>
      </c>
      <c r="P74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forecast'!O74="","",'Low-price monthly forecast'!O74))="",0,IF(IF(IF(ISERROR(DATE(2027,12,1)='Model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forecast'!O74="","",'Low-price monthly forecast'!O74)))+'Low-price monthly forecast'!P73</f>
        <v>26945.214569192867</v>
      </c>
      <c r="Q74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forecast'!P74="","",'Low-price monthly forecast'!P74))="",0,IF(IF(IF(ISERROR(DATE(2028,1,1)='Model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forecast'!P74="","",'Low-price monthly forecast'!P74)))+'Low-price monthly forecast'!Q73</f>
        <v>32065.805986425148</v>
      </c>
      <c r="R74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forecast'!Q74="","",'Low-price monthly forecast'!Q74))="",0,IF(IF(IF(ISERROR(DATE(2028,2,1)='Model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forecast'!Q74="","",'Low-price monthly forecast'!Q74)))+'Low-price monthly forecast'!R73</f>
        <v>37610.47374696814</v>
      </c>
      <c r="S74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forecast'!R74="","",'Low-price monthly forecast'!R74))="",0,IF(IF(IF(ISERROR(DATE(2028,3,1)='Model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forecast'!R74="","",'Low-price monthly forecast'!R74)))+'Low-price monthly forecast'!S73</f>
        <v>43562.254797089416</v>
      </c>
    </row>
    <row r="75">
      <c r="A75" t="inlineStr" s="12">
        <is>
          <t xml:space="preserve">NW Higher-price revenue</t>
        </is>
      </c>
      <c r="B75" s="11">
        <f>'Low-price monthly forecast'!B20*'Model inputs'!B45</f>
        <v>1266</v>
      </c>
      <c r="C75" s="11">
        <f>'Low-price monthly forecast'!C20*'Model inputs'!B45</f>
        <v>2481.36</v>
      </c>
      <c r="D75" s="11">
        <f>'Low-price monthly forecast'!D20*'Model inputs'!B45</f>
        <v>3648.1056000000003</v>
      </c>
      <c r="E75" s="11">
        <f>'Low-price monthly forecast'!E20*'Model inputs'!B45</f>
        <v>4768.181376</v>
      </c>
      <c r="F75" s="11">
        <f>'Low-price monthly forecast'!F20*'Model inputs'!B45</f>
        <v>5843.454120959999</v>
      </c>
      <c r="G75" s="11">
        <f>'Low-price monthly forecast'!G20*'Model inputs'!B45</f>
        <v>6875.715956121599</v>
      </c>
      <c r="H75" s="11">
        <f>'Low-price monthly forecast'!H20*'Model inputs'!B45</f>
        <v>7866.6873178767355</v>
      </c>
      <c r="I75" s="11">
        <f>'Low-price monthly forecast'!I20*'Model inputs'!B45</f>
        <v>8818.019825161666</v>
      </c>
      <c r="J75" s="11">
        <f>'Low-price monthly forecast'!J20*'Model inputs'!B45</f>
        <v>9731.299032155199</v>
      </c>
      <c r="K75" s="11">
        <f>'Low-price monthly forecast'!K20*'Model inputs'!B45</f>
        <v>10608.04707086899</v>
      </c>
      <c r="L75" s="11">
        <f>'Low-price monthly forecast'!L20*'Model inputs'!B45</f>
        <v>11449.725188034232</v>
      </c>
      <c r="M75" s="11">
        <f>'Low-price monthly forecast'!M20*'Model inputs'!B45</f>
        <v>12257.736180512862</v>
      </c>
      <c r="N75" s="11">
        <f>'Low-price monthly forecast'!N20*'Model inputs'!B45</f>
        <v>13033.426733292346</v>
      </c>
      <c r="O75" s="11">
        <f>'Low-price monthly forecast'!O20*'Model inputs'!B45</f>
        <v>13778.089663960653</v>
      </c>
      <c r="P75" s="11">
        <f>'Low-price monthly forecast'!P20*'Model inputs'!B45</f>
        <v>14492.966077402225</v>
      </c>
      <c r="Q75" s="11">
        <f>'Low-price monthly forecast'!Q20*'Model inputs'!B45</f>
        <v>15179.247434306139</v>
      </c>
      <c r="R75" s="11">
        <f>'Low-price monthly forecast'!R20*'Model inputs'!B45</f>
        <v>15838.07753693389</v>
      </c>
      <c r="S75" s="11">
        <f>'Low-price monthly forecast'!S20*'Model inputs'!B45</f>
        <v>16470.55443545653</v>
      </c>
    </row>
    <row r="76">
      <c r="A76" t="inlineStr" s="12">
        <is>
          <t xml:space="preserve">NW Higher-price gross profit</t>
        </is>
      </c>
      <c r="B76" s="11">
        <f>'Low-price monthly forecast'!B20*'Model inputs'!B44</f>
        <v>921.3</v>
      </c>
      <c r="C76" s="11">
        <f>'Low-price monthly forecast'!C20*'Model inputs'!B44</f>
        <v>1805.748</v>
      </c>
      <c r="D76" s="11">
        <f>'Low-price monthly forecast'!D20*'Model inputs'!B44</f>
        <v>2654.81808</v>
      </c>
      <c r="E76" s="11">
        <f>'Low-price monthly forecast'!E20*'Model inputs'!B44</f>
        <v>3469.9253567999995</v>
      </c>
      <c r="F76" s="11">
        <f>'Low-price monthly forecast'!F20*'Model inputs'!B44</f>
        <v>4252.428342528</v>
      </c>
      <c r="G76" s="11">
        <f>'Low-price monthly forecast'!G20*'Model inputs'!B44</f>
        <v>5003.63120882688</v>
      </c>
      <c r="H76" s="11">
        <f>'Low-price monthly forecast'!H20*'Model inputs'!B44</f>
        <v>5724.785960473804</v>
      </c>
      <c r="I76" s="11">
        <f>'Low-price monthly forecast'!I20*'Model inputs'!B44</f>
        <v>6417.094522054853</v>
      </c>
      <c r="J76" s="11">
        <f>'Low-price monthly forecast'!J20*'Model inputs'!B44</f>
        <v>7081.710741172658</v>
      </c>
      <c r="K76" s="11">
        <f>'Low-price monthly forecast'!K20*'Model inputs'!B44</f>
        <v>7719.742311525751</v>
      </c>
      <c r="L76" s="11">
        <f>'Low-price monthly forecast'!L20*'Model inputs'!B44</f>
        <v>8332.25261906472</v>
      </c>
      <c r="M76" s="11">
        <f>'Low-price monthly forecast'!M20*'Model inputs'!B44</f>
        <v>8920.262514302132</v>
      </c>
      <c r="N76" s="11">
        <f>'Low-price monthly forecast'!N20*'Model inputs'!B44</f>
        <v>9484.752013730047</v>
      </c>
      <c r="O76" s="11">
        <f>'Low-price monthly forecast'!O20*'Model inputs'!B44</f>
        <v>10026.661933180845</v>
      </c>
      <c r="P76" s="11">
        <f>'Low-price monthly forecast'!P20*'Model inputs'!B44</f>
        <v>10546.89545585361</v>
      </c>
      <c r="Q76" s="11">
        <f>'Low-price monthly forecast'!Q20*'Model inputs'!B44</f>
        <v>11046.319637619466</v>
      </c>
      <c r="R76" s="11">
        <f>'Low-price monthly forecast'!R20*'Model inputs'!B44</f>
        <v>11525.766852114686</v>
      </c>
      <c r="S76" s="11">
        <f>'Low-price monthly forecast'!S20*'Model inputs'!B44</f>
        <v>11986.036178030097</v>
      </c>
    </row>
    <row r="77">
      <c r="A77" t="inlineStr" s="12">
        <is>
          <t xml:space="preserve">NW Higher-price gross margin</t>
        </is>
      </c>
      <c r="B77" s="13">
        <f>IFERROR('Low-price monthly forecast'!B76/'Low-price monthly forecast'!B75,"")</f>
        <v>0.7277251184834123</v>
      </c>
      <c r="C77" s="13">
        <f>IFERROR('Low-price monthly forecast'!C76/'Low-price monthly forecast'!C75,"")</f>
        <v>0.7277251184834123</v>
      </c>
      <c r="D77" s="13">
        <f>IFERROR('Low-price monthly forecast'!D76/'Low-price monthly forecast'!D75,"")</f>
        <v>0.7277251184834123</v>
      </c>
      <c r="E77" s="13">
        <f>IFERROR('Low-price monthly forecast'!E76/'Low-price monthly forecast'!E75,"")</f>
        <v>0.7277251184834123</v>
      </c>
      <c r="F77" s="13">
        <f>IFERROR('Low-price monthly forecast'!F76/'Low-price monthly forecast'!F75,"")</f>
        <v>0.7277251184834124</v>
      </c>
      <c r="G77" s="13">
        <f>IFERROR('Low-price monthly forecast'!G76/'Low-price monthly forecast'!G75,"")</f>
        <v>0.7277251184834124</v>
      </c>
      <c r="H77" s="13">
        <f>IFERROR('Low-price monthly forecast'!H76/'Low-price monthly forecast'!H75,"")</f>
        <v>0.7277251184834123</v>
      </c>
      <c r="I77" s="13">
        <f>IFERROR('Low-price monthly forecast'!I76/'Low-price monthly forecast'!I75,"")</f>
        <v>0.7277251184834124</v>
      </c>
      <c r="J77" s="13">
        <f>IFERROR('Low-price monthly forecast'!J76/'Low-price monthly forecast'!J75,"")</f>
        <v>0.7277251184834124</v>
      </c>
      <c r="K77" s="13">
        <f>IFERROR('Low-price monthly forecast'!K76/'Low-price monthly forecast'!K75,"")</f>
        <v>0.7277251184834123</v>
      </c>
      <c r="L77" s="13">
        <f>IFERROR('Low-price monthly forecast'!L76/'Low-price monthly forecast'!L75,"")</f>
        <v>0.7277251184834121</v>
      </c>
      <c r="M77" s="13">
        <f>IFERROR('Low-price monthly forecast'!M76/'Low-price monthly forecast'!M75,"")</f>
        <v>0.7277251184834123</v>
      </c>
      <c r="N77" s="13">
        <f>IFERROR('Low-price monthly forecast'!N76/'Low-price monthly forecast'!N75,"")</f>
        <v>0.7277251184834124</v>
      </c>
      <c r="O77" s="13">
        <f>IFERROR('Low-price monthly forecast'!O76/'Low-price monthly forecast'!O75,"")</f>
        <v>0.7277251184834124</v>
      </c>
      <c r="P77" s="13">
        <f>IFERROR('Low-price monthly forecast'!P76/'Low-price monthly forecast'!P75,"")</f>
        <v>0.7277251184834124</v>
      </c>
      <c r="Q77" s="13">
        <f>IFERROR('Low-price monthly forecast'!Q76/'Low-price monthly forecast'!Q75,"")</f>
        <v>0.7277251184834123</v>
      </c>
      <c r="R77" s="13">
        <f>IFERROR('Low-price monthly forecast'!R76/'Low-price monthly forecast'!R75,"")</f>
        <v>0.7277251184834124</v>
      </c>
      <c r="S77" s="13">
        <f>IFERROR('Low-price monthly forecast'!S76/'Low-price monthly forecast'!S75,"")</f>
        <v>0.7277251184834124</v>
      </c>
    </row>
    <row r="78">
      <c r="A78" t="inlineStr" s="12">
        <is>
          <t xml:space="preserve">NW Higher-price operating profit</t>
        </is>
      </c>
      <c r="B78" s="11">
        <f>'Low-price monthly forecast'!B76-'Low-price monthly forecast'!B71-'Low-price monthly forecast'!B72</f>
        <v>-3728.7</v>
      </c>
      <c r="C78" s="11">
        <f>'Low-price monthly forecast'!C76-'Low-price monthly forecast'!C71-'Low-price monthly forecast'!C72</f>
        <v>-2844.252</v>
      </c>
      <c r="D78" s="11">
        <f>'Low-price monthly forecast'!D76-'Low-price monthly forecast'!D71-'Low-price monthly forecast'!D72</f>
        <v>-1995.18192</v>
      </c>
      <c r="E78" s="11">
        <f>'Low-price monthly forecast'!E76-'Low-price monthly forecast'!E71-'Low-price monthly forecast'!E72</f>
        <v>-1180.0746432000005</v>
      </c>
      <c r="F78" s="11">
        <f>'Low-price monthly forecast'!F76-'Low-price monthly forecast'!F71-'Low-price monthly forecast'!F72</f>
        <v>-397.57165747199997</v>
      </c>
      <c r="G78" s="11">
        <f>'Low-price monthly forecast'!G76-'Low-price monthly forecast'!G71-'Low-price monthly forecast'!G72</f>
        <v>353.63120882687963</v>
      </c>
      <c r="H78" s="11">
        <f>'Low-price monthly forecast'!H76-'Low-price monthly forecast'!H71-'Low-price monthly forecast'!H72</f>
        <v>1074.7859604738042</v>
      </c>
      <c r="I78" s="11">
        <f>'Low-price monthly forecast'!I76-'Low-price monthly forecast'!I71-'Low-price monthly forecast'!I72</f>
        <v>1767.0945220548529</v>
      </c>
      <c r="J78" s="11">
        <f>'Low-price monthly forecast'!J76-'Low-price monthly forecast'!J71-'Low-price monthly forecast'!J72</f>
        <v>2431.7107411726583</v>
      </c>
      <c r="K78" s="11">
        <f>'Low-price monthly forecast'!K76-'Low-price monthly forecast'!K71-'Low-price monthly forecast'!K72</f>
        <v>3069.7423115257507</v>
      </c>
      <c r="L78" s="11">
        <f>'Low-price monthly forecast'!L76-'Low-price monthly forecast'!L71-'Low-price monthly forecast'!L72</f>
        <v>3682.2526190647204</v>
      </c>
      <c r="M78" s="11">
        <f>'Low-price monthly forecast'!M76-'Low-price monthly forecast'!M71-'Low-price monthly forecast'!M72</f>
        <v>4270.262514302132</v>
      </c>
      <c r="N78" s="11">
        <f>'Low-price monthly forecast'!N76-'Low-price monthly forecast'!N71-'Low-price monthly forecast'!N72</f>
        <v>4834.752013730047</v>
      </c>
      <c r="O78" s="11">
        <f>'Low-price monthly forecast'!O76-'Low-price monthly forecast'!O71-'Low-price monthly forecast'!O72</f>
        <v>5376.661933180845</v>
      </c>
      <c r="P78" s="11">
        <f>'Low-price monthly forecast'!P76-'Low-price monthly forecast'!P71-'Low-price monthly forecast'!P72</f>
        <v>5896.89545585361</v>
      </c>
      <c r="Q78" s="11">
        <f>'Low-price monthly forecast'!Q76-'Low-price monthly forecast'!Q71-'Low-price monthly forecast'!Q72</f>
        <v>6396.319637619466</v>
      </c>
      <c r="R78" s="11">
        <f>'Low-price monthly forecast'!R76-'Low-price monthly forecast'!R71-'Low-price monthly forecast'!R72</f>
        <v>6875.766852114686</v>
      </c>
      <c r="S78" s="11">
        <f>'Low-price monthly forecast'!S76-'Low-price monthly forecast'!S71-'Low-price monthly forecast'!S72</f>
        <v>7336.036178030097</v>
      </c>
    </row>
    <row r="79">
      <c r="A79" t="inlineStr" s="12">
        <is>
          <t xml:space="preserve">NW Higher-price cash balance</t>
        </is>
      </c>
      <c r="B79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inputs'!K46="","",'Model inputs'!K46))="",0,IF(IF(IF(ISERROR(DATE(2026,10,1)='Model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inputs'!K46="","",'Model inputs'!K46)))+'Low-price monthly forecast'!B78</f>
        <v>11271.3</v>
      </c>
      <c r="C79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forecast'!B79="","",'Low-price monthly forecast'!B79))="",0,IF(IF(IF(ISERROR(DATE(2026,11,1)='Model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forecast'!B79="","",'Low-price monthly forecast'!B79)))+'Low-price monthly forecast'!C78</f>
        <v>8427.047999999999</v>
      </c>
      <c r="D79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forecast'!C79="","",'Low-price monthly forecast'!C79))="",0,IF(IF(IF(ISERROR(DATE(2026,12,1)='Model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forecast'!C79="","",'Low-price monthly forecast'!C79)))+'Low-price monthly forecast'!D78</f>
        <v>6431.866079999999</v>
      </c>
      <c r="E79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forecast'!D79="","",'Low-price monthly forecast'!D79))="",0,IF(IF(IF(ISERROR(DATE(2027,1,1)='Model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forecast'!D79="","",'Low-price monthly forecast'!D79)))+'Low-price monthly forecast'!E78</f>
        <v>5251.791436799998</v>
      </c>
      <c r="F79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forecast'!E79="","",'Low-price monthly forecast'!E79))="",0,IF(IF(IF(ISERROR(DATE(2027,2,1)='Model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forecast'!E79="","",'Low-price monthly forecast'!E79)))+'Low-price monthly forecast'!F78</f>
        <v>4854.219779327998</v>
      </c>
      <c r="G79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forecast'!F79="","",'Low-price monthly forecast'!F79))="",0,IF(IF(IF(ISERROR(DATE(2027,3,1)='Model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forecast'!F79="","",'Low-price monthly forecast'!F79)))+'Low-price monthly forecast'!G78</f>
        <v>5207.850988154878</v>
      </c>
      <c r="H79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forecast'!G79="","",'Low-price monthly forecast'!G79))="",0,IF(IF(IF(ISERROR(DATE(2027,4,1)='Model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forecast'!G79="","",'Low-price monthly forecast'!G79)))+'Low-price monthly forecast'!H78</f>
        <v>6282.636948628682</v>
      </c>
      <c r="I79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forecast'!H79="","",'Low-price monthly forecast'!H79))="",0,IF(IF(IF(ISERROR(DATE(2027,5,1)='Model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forecast'!H79="","",'Low-price monthly forecast'!H79)))+'Low-price monthly forecast'!I78</f>
        <v>8049.731470683535</v>
      </c>
      <c r="J79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forecast'!I79="","",'Low-price monthly forecast'!I79))="",0,IF(IF(IF(ISERROR(DATE(2027,6,1)='Model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forecast'!I79="","",'Low-price monthly forecast'!I79)))+'Low-price monthly forecast'!J78</f>
        <v>10481.442211856192</v>
      </c>
      <c r="K79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forecast'!J79="","",'Low-price monthly forecast'!J79))="",0,IF(IF(IF(ISERROR(DATE(2027,7,1)='Model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forecast'!J79="","",'Low-price monthly forecast'!J79)))+'Low-price monthly forecast'!K78</f>
        <v>13551.184523381944</v>
      </c>
      <c r="L79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forecast'!K79="","",'Low-price monthly forecast'!K79))="",0,IF(IF(IF(ISERROR(DATE(2027,8,1)='Model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forecast'!K79="","",'Low-price monthly forecast'!K79)))+'Low-price monthly forecast'!L78</f>
        <v>17233.437142446666</v>
      </c>
      <c r="M79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forecast'!L79="","",'Low-price monthly forecast'!L79))="",0,IF(IF(IF(ISERROR(DATE(2027,9,1)='Model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forecast'!L79="","",'Low-price monthly forecast'!L79)))+'Low-price monthly forecast'!M78</f>
        <v>21503.6996567488</v>
      </c>
      <c r="N79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forecast'!M79="","",'Low-price monthly forecast'!M79))="",0,IF(IF(IF(ISERROR(DATE(2027,10,1)='Model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forecast'!M79="","",'Low-price monthly forecast'!M79)))+'Low-price monthly forecast'!N78</f>
        <v>26338.451670478848</v>
      </c>
      <c r="O79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forecast'!N79="","",'Low-price monthly forecast'!N79))="",0,IF(IF(IF(ISERROR(DATE(2027,11,1)='Model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forecast'!N79="","",'Low-price monthly forecast'!N79)))+'Low-price monthly forecast'!O78</f>
        <v>31715.113603659694</v>
      </c>
      <c r="P79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forecast'!O79="","",'Low-price monthly forecast'!O79))="",0,IF(IF(IF(ISERROR(DATE(2027,12,1)='Model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forecast'!O79="","",'Low-price monthly forecast'!O79)))+'Low-price monthly forecast'!P78</f>
        <v>37612.00905951331</v>
      </c>
      <c r="Q79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forecast'!P79="","",'Low-price monthly forecast'!P79))="",0,IF(IF(IF(ISERROR(DATE(2028,1,1)='Model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forecast'!P79="","",'Low-price monthly forecast'!P79)))+'Low-price monthly forecast'!Q78</f>
        <v>44008.328697132776</v>
      </c>
      <c r="R79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forecast'!Q79="","",'Low-price monthly forecast'!Q79))="",0,IF(IF(IF(ISERROR(DATE(2028,2,1)='Model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forecast'!Q79="","",'Low-price monthly forecast'!Q79)))+'Low-price monthly forecast'!R78</f>
        <v>50884.09554924746</v>
      </c>
      <c r="S79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forecast'!R79="","",'Low-price monthly forecast'!R79))="",0,IF(IF(IF(ISERROR(DATE(2028,3,1)='Model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forecast'!R79="","",'Low-price monthly forecast'!R79)))+'Low-price monthly forecast'!S78</f>
        <v>58220.131727277556</v>
      </c>
    </row>
    <row r="80">
      <c r="A80" t="inlineStr" s="12">
        <is>
          <t xml:space="preserve">NW BYOK-test revenue</t>
        </is>
      </c>
      <c r="B80" s="11">
        <f>'Low-price monthly forecast'!B20*'Model inputs'!B11</f>
        <v>1154</v>
      </c>
      <c r="C80" s="11">
        <f>'Low-price monthly forecast'!C20*'Model inputs'!B11</f>
        <v>2261.84</v>
      </c>
      <c r="D80" s="11">
        <f>'Low-price monthly forecast'!D20*'Model inputs'!B11</f>
        <v>3325.3664000000003</v>
      </c>
      <c r="E80" s="11">
        <f>'Low-price monthly forecast'!E20*'Model inputs'!B11</f>
        <v>4346.351744</v>
      </c>
      <c r="F80" s="11">
        <f>'Low-price monthly forecast'!F20*'Model inputs'!B11</f>
        <v>5326.49767424</v>
      </c>
      <c r="G80" s="11">
        <f>'Low-price monthly forecast'!G20*'Model inputs'!B11</f>
        <v>6267.4377672704</v>
      </c>
      <c r="H80" s="11">
        <f>'Low-price monthly forecast'!H20*'Model inputs'!B11</f>
        <v>7170.740256579585</v>
      </c>
      <c r="I80" s="11">
        <f>'Low-price monthly forecast'!I20*'Model inputs'!B11</f>
        <v>8037.910646316402</v>
      </c>
      <c r="J80" s="11">
        <f>'Low-price monthly forecast'!J20*'Model inputs'!B11</f>
        <v>8870.394220463744</v>
      </c>
      <c r="K80" s="11">
        <f>'Low-price monthly forecast'!K20*'Model inputs'!B11</f>
        <v>9669.578451645193</v>
      </c>
      <c r="L80" s="11">
        <f>'Low-price monthly forecast'!L20*'Model inputs'!B11</f>
        <v>10436.795313579387</v>
      </c>
      <c r="M80" s="11">
        <f>'Low-price monthly forecast'!M20*'Model inputs'!B11</f>
        <v>11173.323501036211</v>
      </c>
      <c r="N80" s="11">
        <f>'Low-price monthly forecast'!N20*'Model inputs'!B11</f>
        <v>11880.390560994763</v>
      </c>
      <c r="O80" s="11">
        <f>'Low-price monthly forecast'!O20*'Model inputs'!B11</f>
        <v>12559.174938554972</v>
      </c>
      <c r="P80" s="11">
        <f>'Low-price monthly forecast'!P20*'Model inputs'!B11</f>
        <v>13210.807941012772</v>
      </c>
      <c r="Q80" s="11">
        <f>'Low-price monthly forecast'!Q20*'Model inputs'!B11</f>
        <v>13836.375623372263</v>
      </c>
      <c r="R80" s="11">
        <f>'Low-price monthly forecast'!R20*'Model inputs'!B11</f>
        <v>14436.92059843737</v>
      </c>
      <c r="S80" s="11">
        <f>'Low-price monthly forecast'!S20*'Model inputs'!B11</f>
        <v>15013.443774499874</v>
      </c>
    </row>
    <row r="81">
      <c r="A81" t="inlineStr" s="12">
        <is>
          <t xml:space="preserve">NW BYOK-test gross profit</t>
        </is>
      </c>
      <c r="B81" s="11">
        <f>'Low-price monthly forecast'!B20*'Model inputs'!B10</f>
        <v>884.4999999999999</v>
      </c>
      <c r="C81" s="11">
        <f>'Low-price monthly forecast'!C20*'Model inputs'!B10</f>
        <v>1733.62</v>
      </c>
      <c r="D81" s="11">
        <f>'Low-price monthly forecast'!D20*'Model inputs'!B10</f>
        <v>2548.7752</v>
      </c>
      <c r="E81" s="11">
        <f>'Low-price monthly forecast'!E20*'Model inputs'!B10</f>
        <v>3331.324191999999</v>
      </c>
      <c r="F81" s="11">
        <f>'Low-price monthly forecast'!F20*'Model inputs'!B10</f>
        <v>4082.571224319999</v>
      </c>
      <c r="G81" s="11">
        <f>'Low-price monthly forecast'!G20*'Model inputs'!B10</f>
        <v>4803.768375347199</v>
      </c>
      <c r="H81" s="11">
        <f>'Low-price monthly forecast'!H20*'Model inputs'!B10</f>
        <v>5496.117640333311</v>
      </c>
      <c r="I81" s="11">
        <f>'Low-price monthly forecast'!I20*'Model inputs'!B10</f>
        <v>6160.772934719979</v>
      </c>
      <c r="J81" s="11">
        <f>'Low-price monthly forecast'!J20*'Model inputs'!B10</f>
        <v>6798.84201733118</v>
      </c>
      <c r="K81" s="11">
        <f>'Low-price monthly forecast'!K20*'Model inputs'!B10</f>
        <v>7411.388336637931</v>
      </c>
      <c r="L81" s="11">
        <f>'Low-price monthly forecast'!L20*'Model inputs'!B10</f>
        <v>7999.432803172414</v>
      </c>
      <c r="M81" s="11">
        <f>'Low-price monthly forecast'!M20*'Model inputs'!B10</f>
        <v>8563.955491045517</v>
      </c>
      <c r="N81" s="11">
        <f>'Low-price monthly forecast'!N20*'Model inputs'!B10</f>
        <v>9105.897271403697</v>
      </c>
      <c r="O81" s="11">
        <f>'Low-price monthly forecast'!O20*'Model inputs'!B10</f>
        <v>9626.161380547548</v>
      </c>
      <c r="P81" s="11">
        <f>'Low-price monthly forecast'!P20*'Model inputs'!B10</f>
        <v>10125.614925325646</v>
      </c>
      <c r="Q81" s="11">
        <f>'Low-price monthly forecast'!Q20*'Model inputs'!B10</f>
        <v>10605.09032831262</v>
      </c>
      <c r="R81" s="11">
        <f>'Low-price monthly forecast'!R20*'Model inputs'!B10</f>
        <v>11065.386715180113</v>
      </c>
      <c r="S81" s="11">
        <f>'Low-price monthly forecast'!S20*'Model inputs'!B10</f>
        <v>11507.27124657291</v>
      </c>
    </row>
    <row r="82">
      <c r="A82" t="inlineStr" s="12">
        <is>
          <t xml:space="preserve">NW BYOK-test gross margin</t>
        </is>
      </c>
      <c r="B82" s="13">
        <f>IFERROR('Low-price monthly forecast'!B81/'Low-price monthly forecast'!B80,"")</f>
        <v>0.7664644714038127</v>
      </c>
      <c r="C82" s="13">
        <f>IFERROR('Low-price monthly forecast'!C81/'Low-price monthly forecast'!C80,"")</f>
        <v>0.7664644714038127</v>
      </c>
      <c r="D82" s="13">
        <f>IFERROR('Low-price monthly forecast'!D81/'Low-price monthly forecast'!D80,"")</f>
        <v>0.7664644714038128</v>
      </c>
      <c r="E82" s="13">
        <f>IFERROR('Low-price monthly forecast'!E81/'Low-price monthly forecast'!E80,"")</f>
        <v>0.7664644714038127</v>
      </c>
      <c r="F82" s="13">
        <f>IFERROR('Low-price monthly forecast'!F81/'Low-price monthly forecast'!F80,"")</f>
        <v>0.7664644714038126</v>
      </c>
      <c r="G82" s="13">
        <f>IFERROR('Low-price monthly forecast'!G81/'Low-price monthly forecast'!G80,"")</f>
        <v>0.7664644714038127</v>
      </c>
      <c r="H82" s="13">
        <f>IFERROR('Low-price monthly forecast'!H81/'Low-price monthly forecast'!H80,"")</f>
        <v>0.7664644714038127</v>
      </c>
      <c r="I82" s="13">
        <f>IFERROR('Low-price monthly forecast'!I81/'Low-price monthly forecast'!I80,"")</f>
        <v>0.7664644714038127</v>
      </c>
      <c r="J82" s="13">
        <f>IFERROR('Low-price monthly forecast'!J81/'Low-price monthly forecast'!J80,"")</f>
        <v>0.7664644714038128</v>
      </c>
      <c r="K82" s="13">
        <f>IFERROR('Low-price monthly forecast'!K81/'Low-price monthly forecast'!K80,"")</f>
        <v>0.7664644714038128</v>
      </c>
      <c r="L82" s="13">
        <f>IFERROR('Low-price monthly forecast'!L81/'Low-price monthly forecast'!L80,"")</f>
        <v>0.7664644714038127</v>
      </c>
      <c r="M82" s="13">
        <f>IFERROR('Low-price monthly forecast'!M81/'Low-price monthly forecast'!M80,"")</f>
        <v>0.7664644714038127</v>
      </c>
      <c r="N82" s="13">
        <f>IFERROR('Low-price monthly forecast'!N81/'Low-price monthly forecast'!N80,"")</f>
        <v>0.7664644714038127</v>
      </c>
      <c r="O82" s="13">
        <f>IFERROR('Low-price monthly forecast'!O81/'Low-price monthly forecast'!O80,"")</f>
        <v>0.7664644714038127</v>
      </c>
      <c r="P82" s="13">
        <f>IFERROR('Low-price monthly forecast'!P81/'Low-price monthly forecast'!P80,"")</f>
        <v>0.7664644714038128</v>
      </c>
      <c r="Q82" s="13">
        <f>IFERROR('Low-price monthly forecast'!Q81/'Low-price monthly forecast'!Q80,"")</f>
        <v>0.7664644714038127</v>
      </c>
      <c r="R82" s="13">
        <f>IFERROR('Low-price monthly forecast'!R81/'Low-price monthly forecast'!R80,"")</f>
        <v>0.7664644714038127</v>
      </c>
      <c r="S82" s="13">
        <f>IFERROR('Low-price monthly forecast'!S81/'Low-price monthly forecast'!S80,"")</f>
        <v>0.7664644714038128</v>
      </c>
    </row>
    <row r="83">
      <c r="A83" t="inlineStr" s="12">
        <is>
          <t xml:space="preserve">NW BYOK-test operating profit</t>
        </is>
      </c>
      <c r="B83" s="11">
        <f>'Low-price monthly forecast'!B81-'Low-price monthly forecast'!B71-'Low-price monthly forecast'!B72</f>
        <v>-3765.5</v>
      </c>
      <c r="C83" s="11">
        <f>'Low-price monthly forecast'!C81-'Low-price monthly forecast'!C71-'Low-price monthly forecast'!C72</f>
        <v>-2916.38</v>
      </c>
      <c r="D83" s="11">
        <f>'Low-price monthly forecast'!D81-'Low-price monthly forecast'!D71-'Low-price monthly forecast'!D72</f>
        <v>-2101.2248</v>
      </c>
      <c r="E83" s="11">
        <f>'Low-price monthly forecast'!E81-'Low-price monthly forecast'!E71-'Low-price monthly forecast'!E72</f>
        <v>-1318.6758080000009</v>
      </c>
      <c r="F83" s="11">
        <f>'Low-price monthly forecast'!F81-'Low-price monthly forecast'!F71-'Low-price monthly forecast'!F72</f>
        <v>-567.4287756800009</v>
      </c>
      <c r="G83" s="11">
        <f>'Low-price monthly forecast'!G81-'Low-price monthly forecast'!G71-'Low-price monthly forecast'!G72</f>
        <v>153.76837534719925</v>
      </c>
      <c r="H83" s="11">
        <f>'Low-price monthly forecast'!H81-'Low-price monthly forecast'!H71-'Low-price monthly forecast'!H72</f>
        <v>846.1176403333111</v>
      </c>
      <c r="I83" s="11">
        <f>'Low-price monthly forecast'!I81-'Low-price monthly forecast'!I71-'Low-price monthly forecast'!I72</f>
        <v>1510.7729347199793</v>
      </c>
      <c r="J83" s="11">
        <f>'Low-price monthly forecast'!J81-'Low-price monthly forecast'!J71-'Low-price monthly forecast'!J72</f>
        <v>2148.8420173311797</v>
      </c>
      <c r="K83" s="11">
        <f>'Low-price monthly forecast'!K81-'Low-price monthly forecast'!K71-'Low-price monthly forecast'!K72</f>
        <v>2761.3883366379314</v>
      </c>
      <c r="L83" s="11">
        <f>'Low-price monthly forecast'!L81-'Low-price monthly forecast'!L71-'Low-price monthly forecast'!L72</f>
        <v>3349.4328031724144</v>
      </c>
      <c r="M83" s="11">
        <f>'Low-price monthly forecast'!M81-'Low-price monthly forecast'!M71-'Low-price monthly forecast'!M72</f>
        <v>3913.955491045517</v>
      </c>
      <c r="N83" s="11">
        <f>'Low-price monthly forecast'!N81-'Low-price monthly forecast'!N71-'Low-price monthly forecast'!N72</f>
        <v>4455.897271403697</v>
      </c>
      <c r="O83" s="11">
        <f>'Low-price monthly forecast'!O81-'Low-price monthly forecast'!O71-'Low-price monthly forecast'!O72</f>
        <v>4976.161380547548</v>
      </c>
      <c r="P83" s="11">
        <f>'Low-price monthly forecast'!P81-'Low-price monthly forecast'!P71-'Low-price monthly forecast'!P72</f>
        <v>5475.614925325646</v>
      </c>
      <c r="Q83" s="11">
        <f>'Low-price monthly forecast'!Q81-'Low-price monthly forecast'!Q71-'Low-price monthly forecast'!Q72</f>
        <v>5955.090328312621</v>
      </c>
      <c r="R83" s="11">
        <f>'Low-price monthly forecast'!R81-'Low-price monthly forecast'!R71-'Low-price monthly forecast'!R72</f>
        <v>6415.386715180113</v>
      </c>
      <c r="S83" s="11">
        <f>'Low-price monthly forecast'!S81-'Low-price monthly forecast'!S71-'Low-price monthly forecast'!S72</f>
        <v>6857.271246572909</v>
      </c>
    </row>
    <row r="84">
      <c r="A84" t="inlineStr" s="12">
        <is>
          <t xml:space="preserve">NW BYOK-test cash balance</t>
        </is>
      </c>
      <c r="B84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inputs'!K12="","",'Model inputs'!K12))="",0,IF(IF(IF(ISERROR(DATE(2026,10,1)='Model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inputs'!K12="","",'Model inputs'!K12)))+'Low-price monthly forecast'!B83</f>
        <v>11234.5</v>
      </c>
      <c r="C84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forecast'!B84="","",'Low-price monthly forecast'!B84))="",0,IF(IF(IF(ISERROR(DATE(2026,11,1)='Model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forecast'!B84="","",'Low-price monthly forecast'!B84)))+'Low-price monthly forecast'!C83</f>
        <v>8318.119999999999</v>
      </c>
      <c r="D84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forecast'!C84="","",'Low-price monthly forecast'!C84))="",0,IF(IF(IF(ISERROR(DATE(2026,12,1)='Model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forecast'!C84="","",'Low-price monthly forecast'!C84)))+'Low-price monthly forecast'!D83</f>
        <v>6216.895199999999</v>
      </c>
      <c r="E84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forecast'!D84="","",'Low-price monthly forecast'!D84))="",0,IF(IF(IF(ISERROR(DATE(2027,1,1)='Model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forecast'!D84="","",'Low-price monthly forecast'!D84)))+'Low-price monthly forecast'!E83</f>
        <v>4898.219391999998</v>
      </c>
      <c r="F84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forecast'!E84="","",'Low-price monthly forecast'!E84))="",0,IF(IF(IF(ISERROR(DATE(2027,2,1)='Model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forecast'!E84="","",'Low-price monthly forecast'!E84)))+'Low-price monthly forecast'!F83</f>
        <v>4330.790616319997</v>
      </c>
      <c r="G84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forecast'!F84="","",'Low-price monthly forecast'!F84))="",0,IF(IF(IF(ISERROR(DATE(2027,3,1)='Model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forecast'!F84="","",'Low-price monthly forecast'!F84)))+'Low-price monthly forecast'!G83</f>
        <v>4484.558991667196</v>
      </c>
      <c r="H84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forecast'!G84="","",'Low-price monthly forecast'!G84))="",0,IF(IF(IF(ISERROR(DATE(2027,4,1)='Model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forecast'!G84="","",'Low-price monthly forecast'!G84)))+'Low-price monthly forecast'!H83</f>
        <v>5330.676632000507</v>
      </c>
      <c r="I84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forecast'!H84="","",'Low-price monthly forecast'!H84))="",0,IF(IF(IF(ISERROR(DATE(2027,5,1)='Model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forecast'!H84="","",'Low-price monthly forecast'!H84)))+'Low-price monthly forecast'!I83</f>
        <v>6841.4495667204865</v>
      </c>
      <c r="J84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forecast'!I84="","",'Low-price monthly forecast'!I84))="",0,IF(IF(IF(ISERROR(DATE(2027,6,1)='Model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forecast'!I84="","",'Low-price monthly forecast'!I84)))+'Low-price monthly forecast'!J83</f>
        <v>8990.291584051665</v>
      </c>
      <c r="K84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forecast'!J84="","",'Low-price monthly forecast'!J84))="",0,IF(IF(IF(ISERROR(DATE(2027,7,1)='Model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forecast'!J84="","",'Low-price monthly forecast'!J84)))+'Low-price monthly forecast'!K83</f>
        <v>11751.679920689596</v>
      </c>
      <c r="L84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forecast'!K84="","",'Low-price monthly forecast'!K84))="",0,IF(IF(IF(ISERROR(DATE(2027,8,1)='Model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forecast'!K84="","",'Low-price monthly forecast'!K84)))+'Low-price monthly forecast'!L83</f>
        <v>15101.11272386201</v>
      </c>
      <c r="M84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forecast'!L84="","",'Low-price monthly forecast'!L84))="",0,IF(IF(IF(ISERROR(DATE(2027,9,1)='Model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forecast'!L84="","",'Low-price monthly forecast'!L84)))+'Low-price monthly forecast'!M83</f>
        <v>19015.06821490753</v>
      </c>
      <c r="N84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forecast'!M84="","",'Low-price monthly forecast'!M84))="",0,IF(IF(IF(ISERROR(DATE(2027,10,1)='Model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forecast'!M84="","",'Low-price monthly forecast'!M84)))+'Low-price monthly forecast'!N83</f>
        <v>23470.965486311226</v>
      </c>
      <c r="O84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forecast'!N84="","",'Low-price monthly forecast'!N84))="",0,IF(IF(IF(ISERROR(DATE(2027,11,1)='Model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forecast'!N84="","",'Low-price monthly forecast'!N84)))+'Low-price monthly forecast'!O83</f>
        <v>28447.126866858773</v>
      </c>
      <c r="P84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forecast'!O84="","",'Low-price monthly forecast'!O84))="",0,IF(IF(IF(ISERROR(DATE(2027,12,1)='Model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forecast'!O84="","",'Low-price monthly forecast'!O84)))+'Low-price monthly forecast'!P83</f>
        <v>33922.74179218442</v>
      </c>
      <c r="Q84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forecast'!P84="","",'Low-price monthly forecast'!P84))="",0,IF(IF(IF(ISERROR(DATE(2028,1,1)='Model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forecast'!P84="","",'Low-price monthly forecast'!P84)))+'Low-price monthly forecast'!Q83</f>
        <v>39877.83212049704</v>
      </c>
      <c r="R84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forecast'!Q84="","",'Low-price monthly forecast'!Q84))="",0,IF(IF(IF(ISERROR(DATE(2028,2,1)='Model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forecast'!Q84="","",'Low-price monthly forecast'!Q84)))+'Low-price monthly forecast'!R83</f>
        <v>46293.21883567715</v>
      </c>
      <c r="S84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forecast'!R84="","",'Low-price monthly forecast'!R84))="",0,IF(IF(IF(ISERROR(DATE(2028,3,1)='Model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forecast'!R84="","",'Low-price monthly forecast'!R84)))+'Low-price monthly forecast'!S83</f>
        <v>53150.490082250064</v>
      </c>
    </row>
    <row r="85">
      <c r="A85" t="inlineStr" s="12">
        <is>
          <t xml:space="preserve">NW Customer reconciliation</t>
        </is>
      </c>
      <c r="B85" s="14">
        <f>'Low-price monthly forecast'!B20-'Low-price monthly forecast'!B5-'Low-price monthly forecast'!B10+'Low-price monthly forecast'!B15</f>
        <v>0</v>
      </c>
      <c r="C85" s="14">
        <f>'Low-price monthly forecast'!C20-'Low-price monthly forecast'!C5-'Low-price monthly forecast'!C10+'Low-price monthly forecast'!C15</f>
        <v>0.000000000000005773159728050814</v>
      </c>
      <c r="D85" s="14">
        <f>'Low-price monthly forecast'!D20-'Low-price monthly forecast'!D5-'Low-price monthly forecast'!D10+'Low-price monthly forecast'!D15</f>
        <v>0.000000000000004440892098500626</v>
      </c>
      <c r="E85" s="14">
        <f>'Low-price monthly forecast'!E20-'Low-price monthly forecast'!E5-'Low-price monthly forecast'!E10+'Low-price monthly forecast'!E15</f>
        <v>-0.00000000000002042810365310288</v>
      </c>
      <c r="F85" s="14">
        <f>'Low-price monthly forecast'!F20-'Low-price monthly forecast'!F5-'Low-price monthly forecast'!F10+'Low-price monthly forecast'!F15</f>
        <v>0.0000000000000017763568394002505</v>
      </c>
      <c r="G85" s="14">
        <f>'Low-price monthly forecast'!G20-'Low-price monthly forecast'!G5-'Low-price monthly forecast'!G10+'Low-price monthly forecast'!G15</f>
        <v>0.000000000000006217248937900877</v>
      </c>
      <c r="H85" s="14">
        <f>'Low-price monthly forecast'!H20-'Low-price monthly forecast'!H5-'Low-price monthly forecast'!H10+'Low-price monthly forecast'!H15</f>
        <v>0.000000000000005329070518200751</v>
      </c>
      <c r="I85" s="14">
        <f>'Low-price monthly forecast'!I20-'Low-price monthly forecast'!I5-'Low-price monthly forecast'!I10+'Low-price monthly forecast'!I15</f>
        <v>0.000000000000010658141036401503</v>
      </c>
      <c r="J85" s="14">
        <f>'Low-price monthly forecast'!J20-'Low-price monthly forecast'!J5-'Low-price monthly forecast'!J10+'Low-price monthly forecast'!J15</f>
        <v>-0.000000000000014210854715202004</v>
      </c>
      <c r="K85" s="14">
        <f>'Low-price monthly forecast'!K20-'Low-price monthly forecast'!K5-'Low-price monthly forecast'!K10+'Low-price monthly forecast'!K15</f>
        <v>-0.00000000000004618527782440651</v>
      </c>
      <c r="L85" s="14">
        <f>'Low-price monthly forecast'!L20-'Low-price monthly forecast'!L5-'Low-price monthly forecast'!L10+'Low-price monthly forecast'!L15</f>
        <v>0.00000000000002842170943040401</v>
      </c>
      <c r="M85" s="14">
        <f>'Low-price monthly forecast'!M20-'Low-price monthly forecast'!M5-'Low-price monthly forecast'!M10+'Low-price monthly forecast'!M15</f>
        <v>-0.000000000000017763568394002505</v>
      </c>
      <c r="N85" s="14">
        <f>'Low-price monthly forecast'!N20-'Low-price monthly forecast'!N5-'Low-price monthly forecast'!N10+'Low-price monthly forecast'!N15</f>
        <v>0.000000000000003552713678800501</v>
      </c>
      <c r="O85" s="14">
        <f>'Low-price monthly forecast'!O20-'Low-price monthly forecast'!O5-'Low-price monthly forecast'!O10+'Low-price monthly forecast'!O15</f>
        <v>-0.000000000000007105427357601002</v>
      </c>
      <c r="P85" s="14">
        <f>'Low-price monthly forecast'!P20-'Low-price monthly forecast'!P5-'Low-price monthly forecast'!P10+'Low-price monthly forecast'!P15</f>
        <v>-0.00000000000002842170943040401</v>
      </c>
      <c r="Q85" s="14">
        <f>'Low-price monthly forecast'!Q20-'Low-price monthly forecast'!Q5-'Low-price monthly forecast'!Q10+'Low-price monthly forecast'!Q15</f>
        <v>0.00000000000005684341886080802</v>
      </c>
      <c r="R85" s="14">
        <f>'Low-price monthly forecast'!R20-'Low-price monthly forecast'!R5-'Low-price monthly forecast'!R10+'Low-price monthly forecast'!R15</f>
        <v>-0.00000000000009592326932761353</v>
      </c>
      <c r="S85" s="14">
        <f>'Low-price monthly forecast'!S20-'Low-price monthly forecast'!S5-'Low-price monthly forecast'!S10+'Low-price monthly forecast'!S15</f>
        <v>-0.000000000000024868995751603507</v>
      </c>
    </row>
    <row r="86">
      <c r="A86" t="inlineStr" s="6">
        <is>
          <t xml:space="preserve">NW Cash reconciliation</t>
        </is>
      </c>
      <c r="B86" s="15">
        <f>'Low-price monthly forecast'!B74-IF(IF(IF(IF(ISERROR(DATE(2026,10,1)='Model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inputs'!K15)))-'Low-price monthly forecast'!B73</f>
        <v>0</v>
      </c>
      <c r="C86" s="15">
        <f>'Low-price monthly forecast'!C74-IF(IF(IF(IF(ISERROR(DATE(2026,11,1)='Model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forecast'!B74="","",'Low-price monthly forecast'!B74))="",0,IF(IF(IF(ISERROR(DATE(2026,11,1)='Model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inputs'!B90),IF('Low-price monthly forecast'!B74="","",'Low-price monthly forecast'!B74)))-'Low-price monthly forecast'!C73</f>
        <v>0</v>
      </c>
      <c r="D86" s="15">
        <f>'Low-price monthly forecast'!D74-IF(IF(IF(IF(ISERROR(DATE(2026,12,1)='Model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forecast'!C74="","",'Low-price monthly forecast'!C74))="",0,IF(IF(IF(ISERROR(DATE(2026,12,1)='Model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inputs'!B90),IF('Low-price monthly forecast'!C74="","",'Low-price monthly forecast'!C74)))-'Low-price monthly forecast'!D73</f>
        <v>0</v>
      </c>
      <c r="E86" s="15">
        <f>'Low-price monthly forecast'!E74-IF(IF(IF(IF(ISERROR(DATE(2027,1,1)='Model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forecast'!D74="","",'Low-price monthly forecast'!D74))="",0,IF(IF(IF(ISERROR(DATE(2027,1,1)='Model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inputs'!B90),IF('Low-price monthly forecast'!D74="","",'Low-price monthly forecast'!D74)))-'Low-price monthly forecast'!E73</f>
        <v>0</v>
      </c>
      <c r="F86" s="15">
        <f>'Low-price monthly forecast'!F74-IF(IF(IF(IF(ISERROR(DATE(2027,2,1)='Model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forecast'!E74="","",'Low-price monthly forecast'!E74))="",0,IF(IF(IF(ISERROR(DATE(2027,2,1)='Model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inputs'!B90),IF('Low-price monthly forecast'!E74="","",'Low-price monthly forecast'!E74)))-'Low-price monthly forecast'!F73</f>
        <v>0</v>
      </c>
      <c r="G86" s="15">
        <f>'Low-price monthly forecast'!G74-IF(IF(IF(IF(ISERROR(DATE(2027,3,1)='Model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forecast'!F74="","",'Low-price monthly forecast'!F74))="",0,IF(IF(IF(ISERROR(DATE(2027,3,1)='Model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inputs'!B90),IF('Low-price monthly forecast'!F74="","",'Low-price monthly forecast'!F74)))-'Low-price monthly forecast'!G73</f>
        <v>0</v>
      </c>
      <c r="H86" s="15">
        <f>'Low-price monthly forecast'!H74-IF(IF(IF(IF(ISERROR(DATE(2027,4,1)='Model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forecast'!G74="","",'Low-price monthly forecast'!G74))="",0,IF(IF(IF(ISERROR(DATE(2027,4,1)='Model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inputs'!B90),IF('Low-price monthly forecast'!G74="","",'Low-price monthly forecast'!G74)))-'Low-price monthly forecast'!H73</f>
        <v>0</v>
      </c>
      <c r="I86" s="15">
        <f>'Low-price monthly forecast'!I74-IF(IF(IF(IF(ISERROR(DATE(2027,5,1)='Model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forecast'!H74="","",'Low-price monthly forecast'!H74))="",0,IF(IF(IF(ISERROR(DATE(2027,5,1)='Model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inputs'!B90),IF('Low-price monthly forecast'!H74="","",'Low-price monthly forecast'!H74)))-'Low-price monthly forecast'!I73</f>
        <v>0</v>
      </c>
      <c r="J86" s="15">
        <f>'Low-price monthly forecast'!J74-IF(IF(IF(IF(ISERROR(DATE(2027,6,1)='Model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forecast'!I74="","",'Low-price monthly forecast'!I74))="",0,IF(IF(IF(ISERROR(DATE(2027,6,1)='Model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inputs'!B90),IF('Low-price monthly forecast'!I74="","",'Low-price monthly forecast'!I74)))-'Low-price monthly forecast'!J73</f>
        <v>0</v>
      </c>
      <c r="K86" s="15">
        <f>'Low-price monthly forecast'!K74-IF(IF(IF(IF(ISERROR(DATE(2027,7,1)='Model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forecast'!J74="","",'Low-price monthly forecast'!J74))="",0,IF(IF(IF(ISERROR(DATE(2027,7,1)='Model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inputs'!B90),IF('Low-price monthly forecast'!J74="","",'Low-price monthly forecast'!J74)))-'Low-price monthly forecast'!K73</f>
        <v>-0.0000000000009094947017729282</v>
      </c>
      <c r="L86" s="15">
        <f>'Low-price monthly forecast'!L74-IF(IF(IF(IF(ISERROR(DATE(2027,8,1)='Model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forecast'!K74="","",'Low-price monthly forecast'!K74))="",0,IF(IF(IF(ISERROR(DATE(2027,8,1)='Model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inputs'!B90),IF('Low-price monthly forecast'!K74="","",'Low-price monthly forecast'!K74)))-'Low-price monthly forecast'!L73</f>
        <v>0</v>
      </c>
      <c r="M86" s="15">
        <f>'Low-price monthly forecast'!M74-IF(IF(IF(IF(ISERROR(DATE(2027,9,1)='Model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forecast'!L74="","",'Low-price monthly forecast'!L74))="",0,IF(IF(IF(ISERROR(DATE(2027,9,1)='Model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inputs'!B90),IF('Low-price monthly forecast'!L74="","",'Low-price monthly forecast'!L74)))-'Low-price monthly forecast'!M73</f>
        <v>0</v>
      </c>
      <c r="N86" s="15">
        <f>'Low-price monthly forecast'!N74-IF(IF(IF(IF(ISERROR(DATE(2027,10,1)='Model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forecast'!M74="","",'Low-price monthly forecast'!M74))="",0,IF(IF(IF(ISERROR(DATE(2027,10,1)='Model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inputs'!B90),IF('Low-price monthly forecast'!M74="","",'Low-price monthly forecast'!M74)))-'Low-price monthly forecast'!N73</f>
        <v>0</v>
      </c>
      <c r="O86" s="15">
        <f>'Low-price monthly forecast'!O74-IF(IF(IF(IF(ISERROR(DATE(2027,11,1)='Model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forecast'!N74="","",'Low-price monthly forecast'!N74))="",0,IF(IF(IF(ISERROR(DATE(2027,11,1)='Model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inputs'!B90),IF('Low-price monthly forecast'!N74="","",'Low-price monthly forecast'!N74)))-'Low-price monthly forecast'!O73</f>
        <v>0</v>
      </c>
      <c r="P86" s="15">
        <f>'Low-price monthly forecast'!P74-IF(IF(IF(IF(ISERROR(DATE(2027,12,1)='Model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forecast'!O74="","",'Low-price monthly forecast'!O74))="",0,IF(IF(IF(ISERROR(DATE(2027,12,1)='Model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inputs'!B90),IF('Low-price monthly forecast'!O74="","",'Low-price monthly forecast'!O74)))-'Low-price monthly forecast'!P73</f>
        <v>0</v>
      </c>
      <c r="Q86" s="15">
        <f>'Low-price monthly forecast'!Q74-IF(IF(IF(IF(ISERROR(DATE(2028,1,1)='Model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forecast'!P74="","",'Low-price monthly forecast'!P74))="",0,IF(IF(IF(ISERROR(DATE(2028,1,1)='Model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inputs'!B90),IF('Low-price monthly forecast'!P74="","",'Low-price monthly forecast'!P74)))-'Low-price monthly forecast'!Q73</f>
        <v>-0.0000000000018189894035458565</v>
      </c>
      <c r="R86" s="15">
        <f>'Low-price monthly forecast'!R74-IF(IF(IF(IF(ISERROR(DATE(2028,2,1)='Model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forecast'!Q74="","",'Low-price monthly forecast'!Q74))="",0,IF(IF(IF(ISERROR(DATE(2028,2,1)='Model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inputs'!B90),IF('Low-price monthly forecast'!Q74="","",'Low-price monthly forecast'!Q74)))-'Low-price monthly forecast'!R73</f>
        <v>0.0000000000018189894035458565</v>
      </c>
      <c r="S86" s="15">
        <f>'Low-price monthly forecast'!S74-IF(IF(IF(IF(ISERROR(DATE(2028,3,1)='Model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forecast'!R74="","",'Low-price monthly forecast'!R74))="",0,IF(IF(IF(ISERROR(DATE(2028,3,1)='Model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inputs'!B90),IF('Low-price monthly forecast'!R74="","",'Low-price monthly forecast'!R74)))-'Low-price monthly forecast'!S73</f>
        <v>0.0000000000018189894035458565</v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>
  <dimension ref="A1:S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Low-price monthly milestones</t>
        </is>
      </c>
    </row>
    <row r="2" ht="20" customHeight="1">
      <c r="A2" t="inlineStr" s="2">
        <is>
          <t xml:space="preserve">NightWatch — Forecast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</row>
    <row r="5">
      <c r="A5" t="inlineStr" s="6">
        <is>
          <t xml:space="preserve">NW Break-even marker</t>
        </is>
      </c>
      <c r="B5" t="str" s="15">
        <f>IF(IF(IF(ISERROR('Low-price monthly forecast'!B73&gt;=0),'Low-price monthly forecast'!B73&gt;=0,IF('Low-price monthly forecast'!B73="","",'Low-price monthly forecast'!B73&gt;=0))="",FALSE,IF(ISERROR('Low-price monthly forecast'!B73&gt;=0),'Low-price monthly forecast'!B73&gt;=0,IF('Low-price monthly forecast'!B73="","",'Low-price monthly forecast'!B73&gt;=0))),DATE(2026,10,1),"")</f>
        <v/>
      </c>
      <c r="C5" t="str" s="15">
        <f>IF(IF(IF(ISERROR('Low-price monthly forecast'!C73&gt;=0),'Low-price monthly forecast'!C73&gt;=0,IF('Low-price monthly forecast'!C73="","",'Low-price monthly forecast'!C73&gt;=0))="",FALSE,IF(ISERROR('Low-price monthly forecast'!C73&gt;=0),'Low-price monthly forecast'!C73&gt;=0,IF('Low-price monthly forecast'!C73="","",'Low-price monthly forecast'!C73&gt;=0))),DATE(2026,11,1),"")</f>
        <v/>
      </c>
      <c r="D5" t="str" s="15">
        <f>IF(IF(IF(ISERROR('Low-price monthly forecast'!D73&gt;=0),'Low-price monthly forecast'!D73&gt;=0,IF('Low-price monthly forecast'!D73="","",'Low-price monthly forecast'!D73&gt;=0))="",FALSE,IF(ISERROR('Low-price monthly forecast'!D73&gt;=0),'Low-price monthly forecast'!D73&gt;=0,IF('Low-price monthly forecast'!D73="","",'Low-price monthly forecast'!D73&gt;=0))),DATE(2026,12,1),"")</f>
        <v/>
      </c>
      <c r="E5" t="str" s="15">
        <f>IF(IF(IF(ISERROR('Low-price monthly forecast'!E73&gt;=0),'Low-price monthly forecast'!E73&gt;=0,IF('Low-price monthly forecast'!E73="","",'Low-price monthly forecast'!E73&gt;=0))="",FALSE,IF(ISERROR('Low-price monthly forecast'!E73&gt;=0),'Low-price monthly forecast'!E73&gt;=0,IF('Low-price monthly forecast'!E73="","",'Low-price monthly forecast'!E73&gt;=0))),DATE(2027,1,1),"")</f>
        <v/>
      </c>
      <c r="F5" t="str" s="15">
        <f>IF(IF(IF(ISERROR('Low-price monthly forecast'!F73&gt;=0),'Low-price monthly forecast'!F73&gt;=0,IF('Low-price monthly forecast'!F73="","",'Low-price monthly forecast'!F73&gt;=0))="",FALSE,IF(ISERROR('Low-price monthly forecast'!F73&gt;=0),'Low-price monthly forecast'!F73&gt;=0,IF('Low-price monthly forecast'!F73="","",'Low-price monthly forecast'!F73&gt;=0))),DATE(2027,2,1),"")</f>
        <v/>
      </c>
      <c r="G5" t="str" s="15">
        <f>IF(IF(IF(ISERROR('Low-price monthly forecast'!G73&gt;=0),'Low-price monthly forecast'!G73&gt;=0,IF('Low-price monthly forecast'!G73="","",'Low-price monthly forecast'!G73&gt;=0))="",FALSE,IF(ISERROR('Low-price monthly forecast'!G73&gt;=0),'Low-price monthly forecast'!G73&gt;=0,IF('Low-price monthly forecast'!G73="","",'Low-price monthly forecast'!G73&gt;=0))),DATE(2027,3,1),"")</f>
        <v/>
      </c>
      <c r="H5" s="16">
        <f>IF(IF(IF(ISERROR('Low-price monthly forecast'!H73&gt;=0),'Low-price monthly forecast'!H73&gt;=0,IF('Low-price monthly forecast'!H73="","",'Low-price monthly forecast'!H73&gt;=0))="",FALSE,IF(ISERROR('Low-price monthly forecast'!H73&gt;=0),'Low-price monthly forecast'!H73&gt;=0,IF('Low-price monthly forecast'!H73="","",'Low-price monthly forecast'!H73&gt;=0))),DATE(2027,4,1),"")</f>
        <v>46478</v>
      </c>
      <c r="I5" s="16">
        <f>IF(IF(IF(ISERROR('Low-price monthly forecast'!I73&gt;=0),'Low-price monthly forecast'!I73&gt;=0,IF('Low-price monthly forecast'!I73="","",'Low-price monthly forecast'!I73&gt;=0))="",FALSE,IF(ISERROR('Low-price monthly forecast'!I73&gt;=0),'Low-price monthly forecast'!I73&gt;=0,IF('Low-price monthly forecast'!I73="","",'Low-price monthly forecast'!I73&gt;=0))),DATE(2027,5,1),"")</f>
        <v>46508</v>
      </c>
      <c r="J5" s="16">
        <f>IF(IF(IF(ISERROR('Low-price monthly forecast'!J73&gt;=0),'Low-price monthly forecast'!J73&gt;=0,IF('Low-price monthly forecast'!J73="","",'Low-price monthly forecast'!J73&gt;=0))="",FALSE,IF(ISERROR('Low-price monthly forecast'!J73&gt;=0),'Low-price monthly forecast'!J73&gt;=0,IF('Low-price monthly forecast'!J73="","",'Low-price monthly forecast'!J73&gt;=0))),DATE(2027,6,1),"")</f>
        <v>46539</v>
      </c>
      <c r="K5" s="16">
        <f>IF(IF(IF(ISERROR('Low-price monthly forecast'!K73&gt;=0),'Low-price monthly forecast'!K73&gt;=0,IF('Low-price monthly forecast'!K73="","",'Low-price monthly forecast'!K73&gt;=0))="",FALSE,IF(ISERROR('Low-price monthly forecast'!K73&gt;=0),'Low-price monthly forecast'!K73&gt;=0,IF('Low-price monthly forecast'!K73="","",'Low-price monthly forecast'!K73&gt;=0))),DATE(2027,7,1),"")</f>
        <v>46569</v>
      </c>
      <c r="L5" s="16">
        <f>IF(IF(IF(ISERROR('Low-price monthly forecast'!L73&gt;=0),'Low-price monthly forecast'!L73&gt;=0,IF('Low-price monthly forecast'!L73="","",'Low-price monthly forecast'!L73&gt;=0))="",FALSE,IF(ISERROR('Low-price monthly forecast'!L73&gt;=0),'Low-price monthly forecast'!L73&gt;=0,IF('Low-price monthly forecast'!L73="","",'Low-price monthly forecast'!L73&gt;=0))),DATE(2027,8,1),"")</f>
        <v>46600</v>
      </c>
      <c r="M5" s="16">
        <f>IF(IF(IF(ISERROR('Low-price monthly forecast'!M73&gt;=0),'Low-price monthly forecast'!M73&gt;=0,IF('Low-price monthly forecast'!M73="","",'Low-price monthly forecast'!M73&gt;=0))="",FALSE,IF(ISERROR('Low-price monthly forecast'!M73&gt;=0),'Low-price monthly forecast'!M73&gt;=0,IF('Low-price monthly forecast'!M73="","",'Low-price monthly forecast'!M73&gt;=0))),DATE(2027,9,1),"")</f>
        <v>46631</v>
      </c>
      <c r="N5" s="16">
        <f>IF(IF(IF(ISERROR('Low-price monthly forecast'!N73&gt;=0),'Low-price monthly forecast'!N73&gt;=0,IF('Low-price monthly forecast'!N73="","",'Low-price monthly forecast'!N73&gt;=0))="",FALSE,IF(ISERROR('Low-price monthly forecast'!N73&gt;=0),'Low-price monthly forecast'!N73&gt;=0,IF('Low-price monthly forecast'!N73="","",'Low-price monthly forecast'!N73&gt;=0))),DATE(2027,10,1),"")</f>
        <v>46661</v>
      </c>
      <c r="O5" s="16">
        <f>IF(IF(IF(ISERROR('Low-price monthly forecast'!O73&gt;=0),'Low-price monthly forecast'!O73&gt;=0,IF('Low-price monthly forecast'!O73="","",'Low-price monthly forecast'!O73&gt;=0))="",FALSE,IF(ISERROR('Low-price monthly forecast'!O73&gt;=0),'Low-price monthly forecast'!O73&gt;=0,IF('Low-price monthly forecast'!O73="","",'Low-price monthly forecast'!O73&gt;=0))),DATE(2027,11,1),"")</f>
        <v>46692</v>
      </c>
      <c r="P5" s="16">
        <f>IF(IF(IF(ISERROR('Low-price monthly forecast'!P73&gt;=0),'Low-price monthly forecast'!P73&gt;=0,IF('Low-price monthly forecast'!P73="","",'Low-price monthly forecast'!P73&gt;=0))="",FALSE,IF(ISERROR('Low-price monthly forecast'!P73&gt;=0),'Low-price monthly forecast'!P73&gt;=0,IF('Low-price monthly forecast'!P73="","",'Low-price monthly forecast'!P73&gt;=0))),DATE(2027,12,1),"")</f>
        <v>46722</v>
      </c>
      <c r="Q5" s="16">
        <f>IF(IF(IF(ISERROR('Low-price monthly forecast'!Q73&gt;=0),'Low-price monthly forecast'!Q73&gt;=0,IF('Low-price monthly forecast'!Q73="","",'Low-price monthly forecast'!Q73&gt;=0))="",FALSE,IF(ISERROR('Low-price monthly forecast'!Q73&gt;=0),'Low-price monthly forecast'!Q73&gt;=0,IF('Low-price monthly forecast'!Q73="","",'Low-price monthly forecast'!Q73&gt;=0))),DATE(2028,1,1),"")</f>
        <v>46753</v>
      </c>
      <c r="R5" s="16">
        <f>IF(IF(IF(ISERROR('Low-price monthly forecast'!R73&gt;=0),'Low-price monthly forecast'!R73&gt;=0,IF('Low-price monthly forecast'!R73="","",'Low-price monthly forecast'!R73&gt;=0))="",FALSE,IF(ISERROR('Low-price monthly forecast'!R73&gt;=0),'Low-price monthly forecast'!R73&gt;=0,IF('Low-price monthly forecast'!R73="","",'Low-price monthly forecast'!R73&gt;=0))),DATE(2028,2,1),"")</f>
        <v>46784</v>
      </c>
      <c r="S5" s="16">
        <f>IF(IF(IF(ISERROR('Low-price monthly forecast'!S73&gt;=0),'Low-price monthly forecast'!S73&gt;=0,IF('Low-price monthly forecast'!S73="","",'Low-price monthly forecast'!S73&gt;=0))="",FALSE,IF(ISERROR('Low-price monthly forecast'!S73&gt;=0),'Low-price monthly forecast'!S73&gt;=0,IF('Low-price monthly forecast'!S73="","",'Low-price monthly forecast'!S73&gt;=0))),DATE(2028,3,1),"")</f>
        <v>46813</v>
      </c>
    </row>
    <row r="6">
      <c r="A6" t="inlineStr" s="12">
        <is>
          <t xml:space="preserve">NW Exhaustion marker</t>
        </is>
      </c>
      <c r="B6" t="str" s="14">
        <f>IF(IF(IF(ISERROR('Low-price monthly forecast'!B74&lt;=0),'Low-price monthly forecast'!B74&lt;=0,IF('Low-price monthly forecast'!B74="","",'Low-price monthly forecast'!B74&lt;=0))="",FALSE,IF(ISERROR('Low-price monthly forecast'!B74&lt;=0),'Low-price monthly forecast'!B74&lt;=0,IF('Low-price monthly forecast'!B74="","",'Low-price monthly forecast'!B74&lt;=0))),DATE(2026,10,1),"")</f>
        <v/>
      </c>
      <c r="C6" t="str" s="14">
        <f>IF(IF(IF(ISERROR('Low-price monthly forecast'!C74&lt;=0),'Low-price monthly forecast'!C74&lt;=0,IF('Low-price monthly forecast'!C74="","",'Low-price monthly forecast'!C74&lt;=0))="",FALSE,IF(ISERROR('Low-price monthly forecast'!C74&lt;=0),'Low-price monthly forecast'!C74&lt;=0,IF('Low-price monthly forecast'!C74="","",'Low-price monthly forecast'!C74&lt;=0))),DATE(2026,11,1),"")</f>
        <v/>
      </c>
      <c r="D6" t="str" s="14">
        <f>IF(IF(IF(ISERROR('Low-price monthly forecast'!D74&lt;=0),'Low-price monthly forecast'!D74&lt;=0,IF('Low-price monthly forecast'!D74="","",'Low-price monthly forecast'!D74&lt;=0))="",FALSE,IF(ISERROR('Low-price monthly forecast'!D74&lt;=0),'Low-price monthly forecast'!D74&lt;=0,IF('Low-price monthly forecast'!D74="","",'Low-price monthly forecast'!D74&lt;=0))),DATE(2026,12,1),"")</f>
        <v/>
      </c>
      <c r="E6" t="str" s="14">
        <f>IF(IF(IF(ISERROR('Low-price monthly forecast'!E74&lt;=0),'Low-price monthly forecast'!E74&lt;=0,IF('Low-price monthly forecast'!E74="","",'Low-price monthly forecast'!E74&lt;=0))="",FALSE,IF(ISERROR('Low-price monthly forecast'!E74&lt;=0),'Low-price monthly forecast'!E74&lt;=0,IF('Low-price monthly forecast'!E74="","",'Low-price monthly forecast'!E74&lt;=0))),DATE(2027,1,1),"")</f>
        <v/>
      </c>
      <c r="F6" t="str" s="14">
        <f>IF(IF(IF(ISERROR('Low-price monthly forecast'!F74&lt;=0),'Low-price monthly forecast'!F74&lt;=0,IF('Low-price monthly forecast'!F74="","",'Low-price monthly forecast'!F74&lt;=0))="",FALSE,IF(ISERROR('Low-price monthly forecast'!F74&lt;=0),'Low-price monthly forecast'!F74&lt;=0,IF('Low-price monthly forecast'!F74="","",'Low-price monthly forecast'!F74&lt;=0))),DATE(2027,2,1),"")</f>
        <v/>
      </c>
      <c r="G6" t="str" s="14">
        <f>IF(IF(IF(ISERROR('Low-price monthly forecast'!G74&lt;=0),'Low-price monthly forecast'!G74&lt;=0,IF('Low-price monthly forecast'!G74="","",'Low-price monthly forecast'!G74&lt;=0))="",FALSE,IF(ISERROR('Low-price monthly forecast'!G74&lt;=0),'Low-price monthly forecast'!G74&lt;=0,IF('Low-price monthly forecast'!G74="","",'Low-price monthly forecast'!G74&lt;=0))),DATE(2027,3,1),"")</f>
        <v/>
      </c>
      <c r="H6" t="str" s="14">
        <f>IF(IF(IF(ISERROR('Low-price monthly forecast'!H74&lt;=0),'Low-price monthly forecast'!H74&lt;=0,IF('Low-price monthly forecast'!H74="","",'Low-price monthly forecast'!H74&lt;=0))="",FALSE,IF(ISERROR('Low-price monthly forecast'!H74&lt;=0),'Low-price monthly forecast'!H74&lt;=0,IF('Low-price monthly forecast'!H74="","",'Low-price monthly forecast'!H74&lt;=0))),DATE(2027,4,1),"")</f>
        <v/>
      </c>
      <c r="I6" t="str" s="14">
        <f>IF(IF(IF(ISERROR('Low-price monthly forecast'!I74&lt;=0),'Low-price monthly forecast'!I74&lt;=0,IF('Low-price monthly forecast'!I74="","",'Low-price monthly forecast'!I74&lt;=0))="",FALSE,IF(ISERROR('Low-price monthly forecast'!I74&lt;=0),'Low-price monthly forecast'!I74&lt;=0,IF('Low-price monthly forecast'!I74="","",'Low-price monthly forecast'!I74&lt;=0))),DATE(2027,5,1),"")</f>
        <v/>
      </c>
      <c r="J6" t="str" s="14">
        <f>IF(IF(IF(ISERROR('Low-price monthly forecast'!J74&lt;=0),'Low-price monthly forecast'!J74&lt;=0,IF('Low-price monthly forecast'!J74="","",'Low-price monthly forecast'!J74&lt;=0))="",FALSE,IF(ISERROR('Low-price monthly forecast'!J74&lt;=0),'Low-price monthly forecast'!J74&lt;=0,IF('Low-price monthly forecast'!J74="","",'Low-price monthly forecast'!J74&lt;=0))),DATE(2027,6,1),"")</f>
        <v/>
      </c>
      <c r="K6" t="str" s="14">
        <f>IF(IF(IF(ISERROR('Low-price monthly forecast'!K74&lt;=0),'Low-price monthly forecast'!K74&lt;=0,IF('Low-price monthly forecast'!K74="","",'Low-price monthly forecast'!K74&lt;=0))="",FALSE,IF(ISERROR('Low-price monthly forecast'!K74&lt;=0),'Low-price monthly forecast'!K74&lt;=0,IF('Low-price monthly forecast'!K74="","",'Low-price monthly forecast'!K74&lt;=0))),DATE(2027,7,1),"")</f>
        <v/>
      </c>
      <c r="L6" t="str" s="14">
        <f>IF(IF(IF(ISERROR('Low-price monthly forecast'!L74&lt;=0),'Low-price monthly forecast'!L74&lt;=0,IF('Low-price monthly forecast'!L74="","",'Low-price monthly forecast'!L74&lt;=0))="",FALSE,IF(ISERROR('Low-price monthly forecast'!L74&lt;=0),'Low-price monthly forecast'!L74&lt;=0,IF('Low-price monthly forecast'!L74="","",'Low-price monthly forecast'!L74&lt;=0))),DATE(2027,8,1),"")</f>
        <v/>
      </c>
      <c r="M6" t="str" s="14">
        <f>IF(IF(IF(ISERROR('Low-price monthly forecast'!M74&lt;=0),'Low-price monthly forecast'!M74&lt;=0,IF('Low-price monthly forecast'!M74="","",'Low-price monthly forecast'!M74&lt;=0))="",FALSE,IF(ISERROR('Low-price monthly forecast'!M74&lt;=0),'Low-price monthly forecast'!M74&lt;=0,IF('Low-price monthly forecast'!M74="","",'Low-price monthly forecast'!M74&lt;=0))),DATE(2027,9,1),"")</f>
        <v/>
      </c>
      <c r="N6" t="str" s="14">
        <f>IF(IF(IF(ISERROR('Low-price monthly forecast'!N74&lt;=0),'Low-price monthly forecast'!N74&lt;=0,IF('Low-price monthly forecast'!N74="","",'Low-price monthly forecast'!N74&lt;=0))="",FALSE,IF(ISERROR('Low-price monthly forecast'!N74&lt;=0),'Low-price monthly forecast'!N74&lt;=0,IF('Low-price monthly forecast'!N74="","",'Low-price monthly forecast'!N74&lt;=0))),DATE(2027,10,1),"")</f>
        <v/>
      </c>
      <c r="O6" t="str" s="14">
        <f>IF(IF(IF(ISERROR('Low-price monthly forecast'!O74&lt;=0),'Low-price monthly forecast'!O74&lt;=0,IF('Low-price monthly forecast'!O74="","",'Low-price monthly forecast'!O74&lt;=0))="",FALSE,IF(ISERROR('Low-price monthly forecast'!O74&lt;=0),'Low-price monthly forecast'!O74&lt;=0,IF('Low-price monthly forecast'!O74="","",'Low-price monthly forecast'!O74&lt;=0))),DATE(2027,11,1),"")</f>
        <v/>
      </c>
      <c r="P6" t="str" s="14">
        <f>IF(IF(IF(ISERROR('Low-price monthly forecast'!P74&lt;=0),'Low-price monthly forecast'!P74&lt;=0,IF('Low-price monthly forecast'!P74="","",'Low-price monthly forecast'!P74&lt;=0))="",FALSE,IF(ISERROR('Low-price monthly forecast'!P74&lt;=0),'Low-price monthly forecast'!P74&lt;=0,IF('Low-price monthly forecast'!P74="","",'Low-price monthly forecast'!P74&lt;=0))),DATE(2027,12,1),"")</f>
        <v/>
      </c>
      <c r="Q6" t="str" s="14">
        <f>IF(IF(IF(ISERROR('Low-price monthly forecast'!Q74&lt;=0),'Low-price monthly forecast'!Q74&lt;=0,IF('Low-price monthly forecast'!Q74="","",'Low-price monthly forecast'!Q74&lt;=0))="",FALSE,IF(ISERROR('Low-price monthly forecast'!Q74&lt;=0),'Low-price monthly forecast'!Q74&lt;=0,IF('Low-price monthly forecast'!Q74="","",'Low-price monthly forecast'!Q74&lt;=0))),DATE(2028,1,1),"")</f>
        <v/>
      </c>
      <c r="R6" t="str" s="14">
        <f>IF(IF(IF(ISERROR('Low-price monthly forecast'!R74&lt;=0),'Low-price monthly forecast'!R74&lt;=0,IF('Low-price monthly forecast'!R74="","",'Low-price monthly forecast'!R74&lt;=0))="",FALSE,IF(ISERROR('Low-price monthly forecast'!R74&lt;=0),'Low-price monthly forecast'!R74&lt;=0,IF('Low-price monthly forecast'!R74="","",'Low-price monthly forecast'!R74&lt;=0))),DATE(2028,2,1),"")</f>
        <v/>
      </c>
      <c r="S6" t="str" s="14">
        <f>IF(IF(IF(ISERROR('Low-price monthly forecast'!S74&lt;=0),'Low-price monthly forecast'!S74&lt;=0,IF('Low-price monthly forecast'!S74="","",'Low-price monthly forecast'!S74&lt;=0))="",FALSE,IF(ISERROR('Low-price monthly forecast'!S74&lt;=0),'Low-price monthly forecast'!S74&lt;=0,IF('Low-price monthly forecast'!S74="","",'Low-price monthly forecast'!S74&lt;=0))),DATE(2028,3,1),"")</f>
        <v/>
      </c>
    </row>
    <row r="7">
      <c r="A7" t="inlineStr" s="12">
        <is>
          <t xml:space="preserve">NW Higher-price Break-even marker</t>
        </is>
      </c>
      <c r="B7" t="str" s="14">
        <f>IF(IF(IF(ISERROR('Low-price monthly forecast'!B78&gt;=0),'Low-price monthly forecast'!B78&gt;=0,IF('Low-price monthly forecast'!B78="","",'Low-price monthly forecast'!B78&gt;=0))="",FALSE,IF(ISERROR('Low-price monthly forecast'!B78&gt;=0),'Low-price monthly forecast'!B78&gt;=0,IF('Low-price monthly forecast'!B78="","",'Low-price monthly forecast'!B78&gt;=0))),DATE(2026,10,1),"")</f>
        <v/>
      </c>
      <c r="C7" t="str" s="14">
        <f>IF(IF(IF(ISERROR('Low-price monthly forecast'!C78&gt;=0),'Low-price monthly forecast'!C78&gt;=0,IF('Low-price monthly forecast'!C78="","",'Low-price monthly forecast'!C78&gt;=0))="",FALSE,IF(ISERROR('Low-price monthly forecast'!C78&gt;=0),'Low-price monthly forecast'!C78&gt;=0,IF('Low-price monthly forecast'!C78="","",'Low-price monthly forecast'!C78&gt;=0))),DATE(2026,11,1),"")</f>
        <v/>
      </c>
      <c r="D7" t="str" s="14">
        <f>IF(IF(IF(ISERROR('Low-price monthly forecast'!D78&gt;=0),'Low-price monthly forecast'!D78&gt;=0,IF('Low-price monthly forecast'!D78="","",'Low-price monthly forecast'!D78&gt;=0))="",FALSE,IF(ISERROR('Low-price monthly forecast'!D78&gt;=0),'Low-price monthly forecast'!D78&gt;=0,IF('Low-price monthly forecast'!D78="","",'Low-price monthly forecast'!D78&gt;=0))),DATE(2026,12,1),"")</f>
        <v/>
      </c>
      <c r="E7" t="str" s="14">
        <f>IF(IF(IF(ISERROR('Low-price monthly forecast'!E78&gt;=0),'Low-price monthly forecast'!E78&gt;=0,IF('Low-price monthly forecast'!E78="","",'Low-price monthly forecast'!E78&gt;=0))="",FALSE,IF(ISERROR('Low-price monthly forecast'!E78&gt;=0),'Low-price monthly forecast'!E78&gt;=0,IF('Low-price monthly forecast'!E78="","",'Low-price monthly forecast'!E78&gt;=0))),DATE(2027,1,1),"")</f>
        <v/>
      </c>
      <c r="F7" t="str" s="14">
        <f>IF(IF(IF(ISERROR('Low-price monthly forecast'!F78&gt;=0),'Low-price monthly forecast'!F78&gt;=0,IF('Low-price monthly forecast'!F78="","",'Low-price monthly forecast'!F78&gt;=0))="",FALSE,IF(ISERROR('Low-price monthly forecast'!F78&gt;=0),'Low-price monthly forecast'!F78&gt;=0,IF('Low-price monthly forecast'!F78="","",'Low-price monthly forecast'!F78&gt;=0))),DATE(2027,2,1),"")</f>
        <v/>
      </c>
      <c r="G7" s="17">
        <f>IF(IF(IF(ISERROR('Low-price monthly forecast'!G78&gt;=0),'Low-price monthly forecast'!G78&gt;=0,IF('Low-price monthly forecast'!G78="","",'Low-price monthly forecast'!G78&gt;=0))="",FALSE,IF(ISERROR('Low-price monthly forecast'!G78&gt;=0),'Low-price monthly forecast'!G78&gt;=0,IF('Low-price monthly forecast'!G78="","",'Low-price monthly forecast'!G78&gt;=0))),DATE(2027,3,1),"")</f>
        <v>46447</v>
      </c>
      <c r="H7" s="17">
        <f>IF(IF(IF(ISERROR('Low-price monthly forecast'!H78&gt;=0),'Low-price monthly forecast'!H78&gt;=0,IF('Low-price monthly forecast'!H78="","",'Low-price monthly forecast'!H78&gt;=0))="",FALSE,IF(ISERROR('Low-price monthly forecast'!H78&gt;=0),'Low-price monthly forecast'!H78&gt;=0,IF('Low-price monthly forecast'!H78="","",'Low-price monthly forecast'!H78&gt;=0))),DATE(2027,4,1),"")</f>
        <v>46478</v>
      </c>
      <c r="I7" s="17">
        <f>IF(IF(IF(ISERROR('Low-price monthly forecast'!I78&gt;=0),'Low-price monthly forecast'!I78&gt;=0,IF('Low-price monthly forecast'!I78="","",'Low-price monthly forecast'!I78&gt;=0))="",FALSE,IF(ISERROR('Low-price monthly forecast'!I78&gt;=0),'Low-price monthly forecast'!I78&gt;=0,IF('Low-price monthly forecast'!I78="","",'Low-price monthly forecast'!I78&gt;=0))),DATE(2027,5,1),"")</f>
        <v>46508</v>
      </c>
      <c r="J7" s="17">
        <f>IF(IF(IF(ISERROR('Low-price monthly forecast'!J78&gt;=0),'Low-price monthly forecast'!J78&gt;=0,IF('Low-price monthly forecast'!J78="","",'Low-price monthly forecast'!J78&gt;=0))="",FALSE,IF(ISERROR('Low-price monthly forecast'!J78&gt;=0),'Low-price monthly forecast'!J78&gt;=0,IF('Low-price monthly forecast'!J78="","",'Low-price monthly forecast'!J78&gt;=0))),DATE(2027,6,1),"")</f>
        <v>46539</v>
      </c>
      <c r="K7" s="17">
        <f>IF(IF(IF(ISERROR('Low-price monthly forecast'!K78&gt;=0),'Low-price monthly forecast'!K78&gt;=0,IF('Low-price monthly forecast'!K78="","",'Low-price monthly forecast'!K78&gt;=0))="",FALSE,IF(ISERROR('Low-price monthly forecast'!K78&gt;=0),'Low-price monthly forecast'!K78&gt;=0,IF('Low-price monthly forecast'!K78="","",'Low-price monthly forecast'!K78&gt;=0))),DATE(2027,7,1),"")</f>
        <v>46569</v>
      </c>
      <c r="L7" s="17">
        <f>IF(IF(IF(ISERROR('Low-price monthly forecast'!L78&gt;=0),'Low-price monthly forecast'!L78&gt;=0,IF('Low-price monthly forecast'!L78="","",'Low-price monthly forecast'!L78&gt;=0))="",FALSE,IF(ISERROR('Low-price monthly forecast'!L78&gt;=0),'Low-price monthly forecast'!L78&gt;=0,IF('Low-price monthly forecast'!L78="","",'Low-price monthly forecast'!L78&gt;=0))),DATE(2027,8,1),"")</f>
        <v>46600</v>
      </c>
      <c r="M7" s="17">
        <f>IF(IF(IF(ISERROR('Low-price monthly forecast'!M78&gt;=0),'Low-price monthly forecast'!M78&gt;=0,IF('Low-price monthly forecast'!M78="","",'Low-price monthly forecast'!M78&gt;=0))="",FALSE,IF(ISERROR('Low-price monthly forecast'!M78&gt;=0),'Low-price monthly forecast'!M78&gt;=0,IF('Low-price monthly forecast'!M78="","",'Low-price monthly forecast'!M78&gt;=0))),DATE(2027,9,1),"")</f>
        <v>46631</v>
      </c>
      <c r="N7" s="17">
        <f>IF(IF(IF(ISERROR('Low-price monthly forecast'!N78&gt;=0),'Low-price monthly forecast'!N78&gt;=0,IF('Low-price monthly forecast'!N78="","",'Low-price monthly forecast'!N78&gt;=0))="",FALSE,IF(ISERROR('Low-price monthly forecast'!N78&gt;=0),'Low-price monthly forecast'!N78&gt;=0,IF('Low-price monthly forecast'!N78="","",'Low-price monthly forecast'!N78&gt;=0))),DATE(2027,10,1),"")</f>
        <v>46661</v>
      </c>
      <c r="O7" s="17">
        <f>IF(IF(IF(ISERROR('Low-price monthly forecast'!O78&gt;=0),'Low-price monthly forecast'!O78&gt;=0,IF('Low-price monthly forecast'!O78="","",'Low-price monthly forecast'!O78&gt;=0))="",FALSE,IF(ISERROR('Low-price monthly forecast'!O78&gt;=0),'Low-price monthly forecast'!O78&gt;=0,IF('Low-price monthly forecast'!O78="","",'Low-price monthly forecast'!O78&gt;=0))),DATE(2027,11,1),"")</f>
        <v>46692</v>
      </c>
      <c r="P7" s="17">
        <f>IF(IF(IF(ISERROR('Low-price monthly forecast'!P78&gt;=0),'Low-price monthly forecast'!P78&gt;=0,IF('Low-price monthly forecast'!P78="","",'Low-price monthly forecast'!P78&gt;=0))="",FALSE,IF(ISERROR('Low-price monthly forecast'!P78&gt;=0),'Low-price monthly forecast'!P78&gt;=0,IF('Low-price monthly forecast'!P78="","",'Low-price monthly forecast'!P78&gt;=0))),DATE(2027,12,1),"")</f>
        <v>46722</v>
      </c>
      <c r="Q7" s="17">
        <f>IF(IF(IF(ISERROR('Low-price monthly forecast'!Q78&gt;=0),'Low-price monthly forecast'!Q78&gt;=0,IF('Low-price monthly forecast'!Q78="","",'Low-price monthly forecast'!Q78&gt;=0))="",FALSE,IF(ISERROR('Low-price monthly forecast'!Q78&gt;=0),'Low-price monthly forecast'!Q78&gt;=0,IF('Low-price monthly forecast'!Q78="","",'Low-price monthly forecast'!Q78&gt;=0))),DATE(2028,1,1),"")</f>
        <v>46753</v>
      </c>
      <c r="R7" s="17">
        <f>IF(IF(IF(ISERROR('Low-price monthly forecast'!R78&gt;=0),'Low-price monthly forecast'!R78&gt;=0,IF('Low-price monthly forecast'!R78="","",'Low-price monthly forecast'!R78&gt;=0))="",FALSE,IF(ISERROR('Low-price monthly forecast'!R78&gt;=0),'Low-price monthly forecast'!R78&gt;=0,IF('Low-price monthly forecast'!R78="","",'Low-price monthly forecast'!R78&gt;=0))),DATE(2028,2,1),"")</f>
        <v>46784</v>
      </c>
      <c r="S7" s="17">
        <f>IF(IF(IF(ISERROR('Low-price monthly forecast'!S78&gt;=0),'Low-price monthly forecast'!S78&gt;=0,IF('Low-price monthly forecast'!S78="","",'Low-price monthly forecast'!S78&gt;=0))="",FALSE,IF(ISERROR('Low-price monthly forecast'!S78&gt;=0),'Low-price monthly forecast'!S78&gt;=0,IF('Low-price monthly forecast'!S78="","",'Low-price monthly forecast'!S78&gt;=0))),DATE(2028,3,1),"")</f>
        <v>46813</v>
      </c>
    </row>
    <row r="8">
      <c r="A8" t="inlineStr" s="12">
        <is>
          <t xml:space="preserve">NW Higher-price Exhaustion marker</t>
        </is>
      </c>
      <c r="B8" t="str" s="14">
        <f>IF(IF(IF(ISERROR('Low-price monthly forecast'!B79&lt;=0),'Low-price monthly forecast'!B79&lt;=0,IF('Low-price monthly forecast'!B79="","",'Low-price monthly forecast'!B79&lt;=0))="",FALSE,IF(ISERROR('Low-price monthly forecast'!B79&lt;=0),'Low-price monthly forecast'!B79&lt;=0,IF('Low-price monthly forecast'!B79="","",'Low-price monthly forecast'!B79&lt;=0))),DATE(2026,10,1),"")</f>
        <v/>
      </c>
      <c r="C8" t="str" s="14">
        <f>IF(IF(IF(ISERROR('Low-price monthly forecast'!C79&lt;=0),'Low-price monthly forecast'!C79&lt;=0,IF('Low-price monthly forecast'!C79="","",'Low-price monthly forecast'!C79&lt;=0))="",FALSE,IF(ISERROR('Low-price monthly forecast'!C79&lt;=0),'Low-price monthly forecast'!C79&lt;=0,IF('Low-price monthly forecast'!C79="","",'Low-price monthly forecast'!C79&lt;=0))),DATE(2026,11,1),"")</f>
        <v/>
      </c>
      <c r="D8" t="str" s="14">
        <f>IF(IF(IF(ISERROR('Low-price monthly forecast'!D79&lt;=0),'Low-price monthly forecast'!D79&lt;=0,IF('Low-price monthly forecast'!D79="","",'Low-price monthly forecast'!D79&lt;=0))="",FALSE,IF(ISERROR('Low-price monthly forecast'!D79&lt;=0),'Low-price monthly forecast'!D79&lt;=0,IF('Low-price monthly forecast'!D79="","",'Low-price monthly forecast'!D79&lt;=0))),DATE(2026,12,1),"")</f>
        <v/>
      </c>
      <c r="E8" t="str" s="14">
        <f>IF(IF(IF(ISERROR('Low-price monthly forecast'!E79&lt;=0),'Low-price monthly forecast'!E79&lt;=0,IF('Low-price monthly forecast'!E79="","",'Low-price monthly forecast'!E79&lt;=0))="",FALSE,IF(ISERROR('Low-price monthly forecast'!E79&lt;=0),'Low-price monthly forecast'!E79&lt;=0,IF('Low-price monthly forecast'!E79="","",'Low-price monthly forecast'!E79&lt;=0))),DATE(2027,1,1),"")</f>
        <v/>
      </c>
      <c r="F8" t="str" s="14">
        <f>IF(IF(IF(ISERROR('Low-price monthly forecast'!F79&lt;=0),'Low-price monthly forecast'!F79&lt;=0,IF('Low-price monthly forecast'!F79="","",'Low-price monthly forecast'!F79&lt;=0))="",FALSE,IF(ISERROR('Low-price monthly forecast'!F79&lt;=0),'Low-price monthly forecast'!F79&lt;=0,IF('Low-price monthly forecast'!F79="","",'Low-price monthly forecast'!F79&lt;=0))),DATE(2027,2,1),"")</f>
        <v/>
      </c>
      <c r="G8" t="str" s="14">
        <f>IF(IF(IF(ISERROR('Low-price monthly forecast'!G79&lt;=0),'Low-price monthly forecast'!G79&lt;=0,IF('Low-price monthly forecast'!G79="","",'Low-price monthly forecast'!G79&lt;=0))="",FALSE,IF(ISERROR('Low-price monthly forecast'!G79&lt;=0),'Low-price monthly forecast'!G79&lt;=0,IF('Low-price monthly forecast'!G79="","",'Low-price monthly forecast'!G79&lt;=0))),DATE(2027,3,1),"")</f>
        <v/>
      </c>
      <c r="H8" t="str" s="14">
        <f>IF(IF(IF(ISERROR('Low-price monthly forecast'!H79&lt;=0),'Low-price monthly forecast'!H79&lt;=0,IF('Low-price monthly forecast'!H79="","",'Low-price monthly forecast'!H79&lt;=0))="",FALSE,IF(ISERROR('Low-price monthly forecast'!H79&lt;=0),'Low-price monthly forecast'!H79&lt;=0,IF('Low-price monthly forecast'!H79="","",'Low-price monthly forecast'!H79&lt;=0))),DATE(2027,4,1),"")</f>
        <v/>
      </c>
      <c r="I8" t="str" s="14">
        <f>IF(IF(IF(ISERROR('Low-price monthly forecast'!I79&lt;=0),'Low-price monthly forecast'!I79&lt;=0,IF('Low-price monthly forecast'!I79="","",'Low-price monthly forecast'!I79&lt;=0))="",FALSE,IF(ISERROR('Low-price monthly forecast'!I79&lt;=0),'Low-price monthly forecast'!I79&lt;=0,IF('Low-price monthly forecast'!I79="","",'Low-price monthly forecast'!I79&lt;=0))),DATE(2027,5,1),"")</f>
        <v/>
      </c>
      <c r="J8" t="str" s="14">
        <f>IF(IF(IF(ISERROR('Low-price monthly forecast'!J79&lt;=0),'Low-price monthly forecast'!J79&lt;=0,IF('Low-price monthly forecast'!J79="","",'Low-price monthly forecast'!J79&lt;=0))="",FALSE,IF(ISERROR('Low-price monthly forecast'!J79&lt;=0),'Low-price monthly forecast'!J79&lt;=0,IF('Low-price monthly forecast'!J79="","",'Low-price monthly forecast'!J79&lt;=0))),DATE(2027,6,1),"")</f>
        <v/>
      </c>
      <c r="K8" t="str" s="14">
        <f>IF(IF(IF(ISERROR('Low-price monthly forecast'!K79&lt;=0),'Low-price monthly forecast'!K79&lt;=0,IF('Low-price monthly forecast'!K79="","",'Low-price monthly forecast'!K79&lt;=0))="",FALSE,IF(ISERROR('Low-price monthly forecast'!K79&lt;=0),'Low-price monthly forecast'!K79&lt;=0,IF('Low-price monthly forecast'!K79="","",'Low-price monthly forecast'!K79&lt;=0))),DATE(2027,7,1),"")</f>
        <v/>
      </c>
      <c r="L8" t="str" s="14">
        <f>IF(IF(IF(ISERROR('Low-price monthly forecast'!L79&lt;=0),'Low-price monthly forecast'!L79&lt;=0,IF('Low-price monthly forecast'!L79="","",'Low-price monthly forecast'!L79&lt;=0))="",FALSE,IF(ISERROR('Low-price monthly forecast'!L79&lt;=0),'Low-price monthly forecast'!L79&lt;=0,IF('Low-price monthly forecast'!L79="","",'Low-price monthly forecast'!L79&lt;=0))),DATE(2027,8,1),"")</f>
        <v/>
      </c>
      <c r="M8" t="str" s="14">
        <f>IF(IF(IF(ISERROR('Low-price monthly forecast'!M79&lt;=0),'Low-price monthly forecast'!M79&lt;=0,IF('Low-price monthly forecast'!M79="","",'Low-price monthly forecast'!M79&lt;=0))="",FALSE,IF(ISERROR('Low-price monthly forecast'!M79&lt;=0),'Low-price monthly forecast'!M79&lt;=0,IF('Low-price monthly forecast'!M79="","",'Low-price monthly forecast'!M79&lt;=0))),DATE(2027,9,1),"")</f>
        <v/>
      </c>
      <c r="N8" t="str" s="14">
        <f>IF(IF(IF(ISERROR('Low-price monthly forecast'!N79&lt;=0),'Low-price monthly forecast'!N79&lt;=0,IF('Low-price monthly forecast'!N79="","",'Low-price monthly forecast'!N79&lt;=0))="",FALSE,IF(ISERROR('Low-price monthly forecast'!N79&lt;=0),'Low-price monthly forecast'!N79&lt;=0,IF('Low-price monthly forecast'!N79="","",'Low-price monthly forecast'!N79&lt;=0))),DATE(2027,10,1),"")</f>
        <v/>
      </c>
      <c r="O8" t="str" s="14">
        <f>IF(IF(IF(ISERROR('Low-price monthly forecast'!O79&lt;=0),'Low-price monthly forecast'!O79&lt;=0,IF('Low-price monthly forecast'!O79="","",'Low-price monthly forecast'!O79&lt;=0))="",FALSE,IF(ISERROR('Low-price monthly forecast'!O79&lt;=0),'Low-price monthly forecast'!O79&lt;=0,IF('Low-price monthly forecast'!O79="","",'Low-price monthly forecast'!O79&lt;=0))),DATE(2027,11,1),"")</f>
        <v/>
      </c>
      <c r="P8" t="str" s="14">
        <f>IF(IF(IF(ISERROR('Low-price monthly forecast'!P79&lt;=0),'Low-price monthly forecast'!P79&lt;=0,IF('Low-price monthly forecast'!P79="","",'Low-price monthly forecast'!P79&lt;=0))="",FALSE,IF(ISERROR('Low-price monthly forecast'!P79&lt;=0),'Low-price monthly forecast'!P79&lt;=0,IF('Low-price monthly forecast'!P79="","",'Low-price monthly forecast'!P79&lt;=0))),DATE(2027,12,1),"")</f>
        <v/>
      </c>
      <c r="Q8" t="str" s="14">
        <f>IF(IF(IF(ISERROR('Low-price monthly forecast'!Q79&lt;=0),'Low-price monthly forecast'!Q79&lt;=0,IF('Low-price monthly forecast'!Q79="","",'Low-price monthly forecast'!Q79&lt;=0))="",FALSE,IF(ISERROR('Low-price monthly forecast'!Q79&lt;=0),'Low-price monthly forecast'!Q79&lt;=0,IF('Low-price monthly forecast'!Q79="","",'Low-price monthly forecast'!Q79&lt;=0))),DATE(2028,1,1),"")</f>
        <v/>
      </c>
      <c r="R8" t="str" s="14">
        <f>IF(IF(IF(ISERROR('Low-price monthly forecast'!R79&lt;=0),'Low-price monthly forecast'!R79&lt;=0,IF('Low-price monthly forecast'!R79="","",'Low-price monthly forecast'!R79&lt;=0))="",FALSE,IF(ISERROR('Low-price monthly forecast'!R79&lt;=0),'Low-price monthly forecast'!R79&lt;=0,IF('Low-price monthly forecast'!R79="","",'Low-price monthly forecast'!R79&lt;=0))),DATE(2028,2,1),"")</f>
        <v/>
      </c>
      <c r="S8" t="str" s="14">
        <f>IF(IF(IF(ISERROR('Low-price monthly forecast'!S79&lt;=0),'Low-price monthly forecast'!S79&lt;=0,IF('Low-price monthly forecast'!S79="","",'Low-price monthly forecast'!S79&lt;=0))="",FALSE,IF(ISERROR('Low-price monthly forecast'!S79&lt;=0),'Low-price monthly forecast'!S79&lt;=0,IF('Low-price monthly forecast'!S79="","",'Low-price monthly forecast'!S79&lt;=0))),DATE(2028,3,1),"")</f>
        <v/>
      </c>
    </row>
    <row r="9">
      <c r="A9" t="inlineStr" s="12">
        <is>
          <t xml:space="preserve">NW BYOK-test Break-even marker</t>
        </is>
      </c>
      <c r="B9" t="str" s="14">
        <f>IF(IF(IF(ISERROR('Low-price monthly forecast'!B83&gt;=0),'Low-price monthly forecast'!B83&gt;=0,IF('Low-price monthly forecast'!B83="","",'Low-price monthly forecast'!B83&gt;=0))="",FALSE,IF(ISERROR('Low-price monthly forecast'!B83&gt;=0),'Low-price monthly forecast'!B83&gt;=0,IF('Low-price monthly forecast'!B83="","",'Low-price monthly forecast'!B83&gt;=0))),DATE(2026,10,1),"")</f>
        <v/>
      </c>
      <c r="C9" t="str" s="14">
        <f>IF(IF(IF(ISERROR('Low-price monthly forecast'!C83&gt;=0),'Low-price monthly forecast'!C83&gt;=0,IF('Low-price monthly forecast'!C83="","",'Low-price monthly forecast'!C83&gt;=0))="",FALSE,IF(ISERROR('Low-price monthly forecast'!C83&gt;=0),'Low-price monthly forecast'!C83&gt;=0,IF('Low-price monthly forecast'!C83="","",'Low-price monthly forecast'!C83&gt;=0))),DATE(2026,11,1),"")</f>
        <v/>
      </c>
      <c r="D9" t="str" s="14">
        <f>IF(IF(IF(ISERROR('Low-price monthly forecast'!D83&gt;=0),'Low-price monthly forecast'!D83&gt;=0,IF('Low-price monthly forecast'!D83="","",'Low-price monthly forecast'!D83&gt;=0))="",FALSE,IF(ISERROR('Low-price monthly forecast'!D83&gt;=0),'Low-price monthly forecast'!D83&gt;=0,IF('Low-price monthly forecast'!D83="","",'Low-price monthly forecast'!D83&gt;=0))),DATE(2026,12,1),"")</f>
        <v/>
      </c>
      <c r="E9" t="str" s="14">
        <f>IF(IF(IF(ISERROR('Low-price monthly forecast'!E83&gt;=0),'Low-price monthly forecast'!E83&gt;=0,IF('Low-price monthly forecast'!E83="","",'Low-price monthly forecast'!E83&gt;=0))="",FALSE,IF(ISERROR('Low-price monthly forecast'!E83&gt;=0),'Low-price monthly forecast'!E83&gt;=0,IF('Low-price monthly forecast'!E83="","",'Low-price monthly forecast'!E83&gt;=0))),DATE(2027,1,1),"")</f>
        <v/>
      </c>
      <c r="F9" t="str" s="14">
        <f>IF(IF(IF(ISERROR('Low-price monthly forecast'!F83&gt;=0),'Low-price monthly forecast'!F83&gt;=0,IF('Low-price monthly forecast'!F83="","",'Low-price monthly forecast'!F83&gt;=0))="",FALSE,IF(ISERROR('Low-price monthly forecast'!F83&gt;=0),'Low-price monthly forecast'!F83&gt;=0,IF('Low-price monthly forecast'!F83="","",'Low-price monthly forecast'!F83&gt;=0))),DATE(2027,2,1),"")</f>
        <v/>
      </c>
      <c r="G9" s="17">
        <f>IF(IF(IF(ISERROR('Low-price monthly forecast'!G83&gt;=0),'Low-price monthly forecast'!G83&gt;=0,IF('Low-price monthly forecast'!G83="","",'Low-price monthly forecast'!G83&gt;=0))="",FALSE,IF(ISERROR('Low-price monthly forecast'!G83&gt;=0),'Low-price monthly forecast'!G83&gt;=0,IF('Low-price monthly forecast'!G83="","",'Low-price monthly forecast'!G83&gt;=0))),DATE(2027,3,1),"")</f>
        <v>46447</v>
      </c>
      <c r="H9" s="17">
        <f>IF(IF(IF(ISERROR('Low-price monthly forecast'!H83&gt;=0),'Low-price monthly forecast'!H83&gt;=0,IF('Low-price monthly forecast'!H83="","",'Low-price monthly forecast'!H83&gt;=0))="",FALSE,IF(ISERROR('Low-price monthly forecast'!H83&gt;=0),'Low-price monthly forecast'!H83&gt;=0,IF('Low-price monthly forecast'!H83="","",'Low-price monthly forecast'!H83&gt;=0))),DATE(2027,4,1),"")</f>
        <v>46478</v>
      </c>
      <c r="I9" s="17">
        <f>IF(IF(IF(ISERROR('Low-price monthly forecast'!I83&gt;=0),'Low-price monthly forecast'!I83&gt;=0,IF('Low-price monthly forecast'!I83="","",'Low-price monthly forecast'!I83&gt;=0))="",FALSE,IF(ISERROR('Low-price monthly forecast'!I83&gt;=0),'Low-price monthly forecast'!I83&gt;=0,IF('Low-price monthly forecast'!I83="","",'Low-price monthly forecast'!I83&gt;=0))),DATE(2027,5,1),"")</f>
        <v>46508</v>
      </c>
      <c r="J9" s="17">
        <f>IF(IF(IF(ISERROR('Low-price monthly forecast'!J83&gt;=0),'Low-price monthly forecast'!J83&gt;=0,IF('Low-price monthly forecast'!J83="","",'Low-price monthly forecast'!J83&gt;=0))="",FALSE,IF(ISERROR('Low-price monthly forecast'!J83&gt;=0),'Low-price monthly forecast'!J83&gt;=0,IF('Low-price monthly forecast'!J83="","",'Low-price monthly forecast'!J83&gt;=0))),DATE(2027,6,1),"")</f>
        <v>46539</v>
      </c>
      <c r="K9" s="17">
        <f>IF(IF(IF(ISERROR('Low-price monthly forecast'!K83&gt;=0),'Low-price monthly forecast'!K83&gt;=0,IF('Low-price monthly forecast'!K83="","",'Low-price monthly forecast'!K83&gt;=0))="",FALSE,IF(ISERROR('Low-price monthly forecast'!K83&gt;=0),'Low-price monthly forecast'!K83&gt;=0,IF('Low-price monthly forecast'!K83="","",'Low-price monthly forecast'!K83&gt;=0))),DATE(2027,7,1),"")</f>
        <v>46569</v>
      </c>
      <c r="L9" s="17">
        <f>IF(IF(IF(ISERROR('Low-price monthly forecast'!L83&gt;=0),'Low-price monthly forecast'!L83&gt;=0,IF('Low-price monthly forecast'!L83="","",'Low-price monthly forecast'!L83&gt;=0))="",FALSE,IF(ISERROR('Low-price monthly forecast'!L83&gt;=0),'Low-price monthly forecast'!L83&gt;=0,IF('Low-price monthly forecast'!L83="","",'Low-price monthly forecast'!L83&gt;=0))),DATE(2027,8,1),"")</f>
        <v>46600</v>
      </c>
      <c r="M9" s="17">
        <f>IF(IF(IF(ISERROR('Low-price monthly forecast'!M83&gt;=0),'Low-price monthly forecast'!M83&gt;=0,IF('Low-price monthly forecast'!M83="","",'Low-price monthly forecast'!M83&gt;=0))="",FALSE,IF(ISERROR('Low-price monthly forecast'!M83&gt;=0),'Low-price monthly forecast'!M83&gt;=0,IF('Low-price monthly forecast'!M83="","",'Low-price monthly forecast'!M83&gt;=0))),DATE(2027,9,1),"")</f>
        <v>46631</v>
      </c>
      <c r="N9" s="17">
        <f>IF(IF(IF(ISERROR('Low-price monthly forecast'!N83&gt;=0),'Low-price monthly forecast'!N83&gt;=0,IF('Low-price monthly forecast'!N83="","",'Low-price monthly forecast'!N83&gt;=0))="",FALSE,IF(ISERROR('Low-price monthly forecast'!N83&gt;=0),'Low-price monthly forecast'!N83&gt;=0,IF('Low-price monthly forecast'!N83="","",'Low-price monthly forecast'!N83&gt;=0))),DATE(2027,10,1),"")</f>
        <v>46661</v>
      </c>
      <c r="O9" s="17">
        <f>IF(IF(IF(ISERROR('Low-price monthly forecast'!O83&gt;=0),'Low-price monthly forecast'!O83&gt;=0,IF('Low-price monthly forecast'!O83="","",'Low-price monthly forecast'!O83&gt;=0))="",FALSE,IF(ISERROR('Low-price monthly forecast'!O83&gt;=0),'Low-price monthly forecast'!O83&gt;=0,IF('Low-price monthly forecast'!O83="","",'Low-price monthly forecast'!O83&gt;=0))),DATE(2027,11,1),"")</f>
        <v>46692</v>
      </c>
      <c r="P9" s="17">
        <f>IF(IF(IF(ISERROR('Low-price monthly forecast'!P83&gt;=0),'Low-price monthly forecast'!P83&gt;=0,IF('Low-price monthly forecast'!P83="","",'Low-price monthly forecast'!P83&gt;=0))="",FALSE,IF(ISERROR('Low-price monthly forecast'!P83&gt;=0),'Low-price monthly forecast'!P83&gt;=0,IF('Low-price monthly forecast'!P83="","",'Low-price monthly forecast'!P83&gt;=0))),DATE(2027,12,1),"")</f>
        <v>46722</v>
      </c>
      <c r="Q9" s="17">
        <f>IF(IF(IF(ISERROR('Low-price monthly forecast'!Q83&gt;=0),'Low-price monthly forecast'!Q83&gt;=0,IF('Low-price monthly forecast'!Q83="","",'Low-price monthly forecast'!Q83&gt;=0))="",FALSE,IF(ISERROR('Low-price monthly forecast'!Q83&gt;=0),'Low-price monthly forecast'!Q83&gt;=0,IF('Low-price monthly forecast'!Q83="","",'Low-price monthly forecast'!Q83&gt;=0))),DATE(2028,1,1),"")</f>
        <v>46753</v>
      </c>
      <c r="R9" s="17">
        <f>IF(IF(IF(ISERROR('Low-price monthly forecast'!R83&gt;=0),'Low-price monthly forecast'!R83&gt;=0,IF('Low-price monthly forecast'!R83="","",'Low-price monthly forecast'!R83&gt;=0))="",FALSE,IF(ISERROR('Low-price monthly forecast'!R83&gt;=0),'Low-price monthly forecast'!R83&gt;=0,IF('Low-price monthly forecast'!R83="","",'Low-price monthly forecast'!R83&gt;=0))),DATE(2028,2,1),"")</f>
        <v>46784</v>
      </c>
      <c r="S9" s="17">
        <f>IF(IF(IF(ISERROR('Low-price monthly forecast'!S83&gt;=0),'Low-price monthly forecast'!S83&gt;=0,IF('Low-price monthly forecast'!S83="","",'Low-price monthly forecast'!S83&gt;=0))="",FALSE,IF(ISERROR('Low-price monthly forecast'!S83&gt;=0),'Low-price monthly forecast'!S83&gt;=0,IF('Low-price monthly forecast'!S83="","",'Low-price monthly forecast'!S83&gt;=0))),DATE(2028,3,1),"")</f>
        <v>46813</v>
      </c>
    </row>
    <row r="10">
      <c r="A10" t="inlineStr" s="6">
        <is>
          <t xml:space="preserve">NW BYOK-test Exhaustion marker</t>
        </is>
      </c>
      <c r="B10" t="str" s="15">
        <f>IF(IF(IF(ISERROR('Low-price monthly forecast'!B84&lt;=0),'Low-price monthly forecast'!B84&lt;=0,IF('Low-price monthly forecast'!B84="","",'Low-price monthly forecast'!B84&lt;=0))="",FALSE,IF(ISERROR('Low-price monthly forecast'!B84&lt;=0),'Low-price monthly forecast'!B84&lt;=0,IF('Low-price monthly forecast'!B84="","",'Low-price monthly forecast'!B84&lt;=0))),DATE(2026,10,1),"")</f>
        <v/>
      </c>
      <c r="C10" t="str" s="15">
        <f>IF(IF(IF(ISERROR('Low-price monthly forecast'!C84&lt;=0),'Low-price monthly forecast'!C84&lt;=0,IF('Low-price monthly forecast'!C84="","",'Low-price monthly forecast'!C84&lt;=0))="",FALSE,IF(ISERROR('Low-price monthly forecast'!C84&lt;=0),'Low-price monthly forecast'!C84&lt;=0,IF('Low-price monthly forecast'!C84="","",'Low-price monthly forecast'!C84&lt;=0))),DATE(2026,11,1),"")</f>
        <v/>
      </c>
      <c r="D10" t="str" s="15">
        <f>IF(IF(IF(ISERROR('Low-price monthly forecast'!D84&lt;=0),'Low-price monthly forecast'!D84&lt;=0,IF('Low-price monthly forecast'!D84="","",'Low-price monthly forecast'!D84&lt;=0))="",FALSE,IF(ISERROR('Low-price monthly forecast'!D84&lt;=0),'Low-price monthly forecast'!D84&lt;=0,IF('Low-price monthly forecast'!D84="","",'Low-price monthly forecast'!D84&lt;=0))),DATE(2026,12,1),"")</f>
        <v/>
      </c>
      <c r="E10" t="str" s="15">
        <f>IF(IF(IF(ISERROR('Low-price monthly forecast'!E84&lt;=0),'Low-price monthly forecast'!E84&lt;=0,IF('Low-price monthly forecast'!E84="","",'Low-price monthly forecast'!E84&lt;=0))="",FALSE,IF(ISERROR('Low-price monthly forecast'!E84&lt;=0),'Low-price monthly forecast'!E84&lt;=0,IF('Low-price monthly forecast'!E84="","",'Low-price monthly forecast'!E84&lt;=0))),DATE(2027,1,1),"")</f>
        <v/>
      </c>
      <c r="F10" t="str" s="15">
        <f>IF(IF(IF(ISERROR('Low-price monthly forecast'!F84&lt;=0),'Low-price monthly forecast'!F84&lt;=0,IF('Low-price monthly forecast'!F84="","",'Low-price monthly forecast'!F84&lt;=0))="",FALSE,IF(ISERROR('Low-price monthly forecast'!F84&lt;=0),'Low-price monthly forecast'!F84&lt;=0,IF('Low-price monthly forecast'!F84="","",'Low-price monthly forecast'!F84&lt;=0))),DATE(2027,2,1),"")</f>
        <v/>
      </c>
      <c r="G10" t="str" s="15">
        <f>IF(IF(IF(ISERROR('Low-price monthly forecast'!G84&lt;=0),'Low-price monthly forecast'!G84&lt;=0,IF('Low-price monthly forecast'!G84="","",'Low-price monthly forecast'!G84&lt;=0))="",FALSE,IF(ISERROR('Low-price monthly forecast'!G84&lt;=0),'Low-price monthly forecast'!G84&lt;=0,IF('Low-price monthly forecast'!G84="","",'Low-price monthly forecast'!G84&lt;=0))),DATE(2027,3,1),"")</f>
        <v/>
      </c>
      <c r="H10" t="str" s="15">
        <f>IF(IF(IF(ISERROR('Low-price monthly forecast'!H84&lt;=0),'Low-price monthly forecast'!H84&lt;=0,IF('Low-price monthly forecast'!H84="","",'Low-price monthly forecast'!H84&lt;=0))="",FALSE,IF(ISERROR('Low-price monthly forecast'!H84&lt;=0),'Low-price monthly forecast'!H84&lt;=0,IF('Low-price monthly forecast'!H84="","",'Low-price monthly forecast'!H84&lt;=0))),DATE(2027,4,1),"")</f>
        <v/>
      </c>
      <c r="I10" t="str" s="15">
        <f>IF(IF(IF(ISERROR('Low-price monthly forecast'!I84&lt;=0),'Low-price monthly forecast'!I84&lt;=0,IF('Low-price monthly forecast'!I84="","",'Low-price monthly forecast'!I84&lt;=0))="",FALSE,IF(ISERROR('Low-price monthly forecast'!I84&lt;=0),'Low-price monthly forecast'!I84&lt;=0,IF('Low-price monthly forecast'!I84="","",'Low-price monthly forecast'!I84&lt;=0))),DATE(2027,5,1),"")</f>
        <v/>
      </c>
      <c r="J10" t="str" s="15">
        <f>IF(IF(IF(ISERROR('Low-price monthly forecast'!J84&lt;=0),'Low-price monthly forecast'!J84&lt;=0,IF('Low-price monthly forecast'!J84="","",'Low-price monthly forecast'!J84&lt;=0))="",FALSE,IF(ISERROR('Low-price monthly forecast'!J84&lt;=0),'Low-price monthly forecast'!J84&lt;=0,IF('Low-price monthly forecast'!J84="","",'Low-price monthly forecast'!J84&lt;=0))),DATE(2027,6,1),"")</f>
        <v/>
      </c>
      <c r="K10" t="str" s="15">
        <f>IF(IF(IF(ISERROR('Low-price monthly forecast'!K84&lt;=0),'Low-price monthly forecast'!K84&lt;=0,IF('Low-price monthly forecast'!K84="","",'Low-price monthly forecast'!K84&lt;=0))="",FALSE,IF(ISERROR('Low-price monthly forecast'!K84&lt;=0),'Low-price monthly forecast'!K84&lt;=0,IF('Low-price monthly forecast'!K84="","",'Low-price monthly forecast'!K84&lt;=0))),DATE(2027,7,1),"")</f>
        <v/>
      </c>
      <c r="L10" t="str" s="15">
        <f>IF(IF(IF(ISERROR('Low-price monthly forecast'!L84&lt;=0),'Low-price monthly forecast'!L84&lt;=0,IF('Low-price monthly forecast'!L84="","",'Low-price monthly forecast'!L84&lt;=0))="",FALSE,IF(ISERROR('Low-price monthly forecast'!L84&lt;=0),'Low-price monthly forecast'!L84&lt;=0,IF('Low-price monthly forecast'!L84="","",'Low-price monthly forecast'!L84&lt;=0))),DATE(2027,8,1),"")</f>
        <v/>
      </c>
      <c r="M10" t="str" s="15">
        <f>IF(IF(IF(ISERROR('Low-price monthly forecast'!M84&lt;=0),'Low-price monthly forecast'!M84&lt;=0,IF('Low-price monthly forecast'!M84="","",'Low-price monthly forecast'!M84&lt;=0))="",FALSE,IF(ISERROR('Low-price monthly forecast'!M84&lt;=0),'Low-price monthly forecast'!M84&lt;=0,IF('Low-price monthly forecast'!M84="","",'Low-price monthly forecast'!M84&lt;=0))),DATE(2027,9,1),"")</f>
        <v/>
      </c>
      <c r="N10" t="str" s="15">
        <f>IF(IF(IF(ISERROR('Low-price monthly forecast'!N84&lt;=0),'Low-price monthly forecast'!N84&lt;=0,IF('Low-price monthly forecast'!N84="","",'Low-price monthly forecast'!N84&lt;=0))="",FALSE,IF(ISERROR('Low-price monthly forecast'!N84&lt;=0),'Low-price monthly forecast'!N84&lt;=0,IF('Low-price monthly forecast'!N84="","",'Low-price monthly forecast'!N84&lt;=0))),DATE(2027,10,1),"")</f>
        <v/>
      </c>
      <c r="O10" t="str" s="15">
        <f>IF(IF(IF(ISERROR('Low-price monthly forecast'!O84&lt;=0),'Low-price monthly forecast'!O84&lt;=0,IF('Low-price monthly forecast'!O84="","",'Low-price monthly forecast'!O84&lt;=0))="",FALSE,IF(ISERROR('Low-price monthly forecast'!O84&lt;=0),'Low-price monthly forecast'!O84&lt;=0,IF('Low-price monthly forecast'!O84="","",'Low-price monthly forecast'!O84&lt;=0))),DATE(2027,11,1),"")</f>
        <v/>
      </c>
      <c r="P10" t="str" s="15">
        <f>IF(IF(IF(ISERROR('Low-price monthly forecast'!P84&lt;=0),'Low-price monthly forecast'!P84&lt;=0,IF('Low-price monthly forecast'!P84="","",'Low-price monthly forecast'!P84&lt;=0))="",FALSE,IF(ISERROR('Low-price monthly forecast'!P84&lt;=0),'Low-price monthly forecast'!P84&lt;=0,IF('Low-price monthly forecast'!P84="","",'Low-price monthly forecast'!P84&lt;=0))),DATE(2027,12,1),"")</f>
        <v/>
      </c>
      <c r="Q10" t="str" s="15">
        <f>IF(IF(IF(ISERROR('Low-price monthly forecast'!Q84&lt;=0),'Low-price monthly forecast'!Q84&lt;=0,IF('Low-price monthly forecast'!Q84="","",'Low-price monthly forecast'!Q84&lt;=0))="",FALSE,IF(ISERROR('Low-price monthly forecast'!Q84&lt;=0),'Low-price monthly forecast'!Q84&lt;=0,IF('Low-price monthly forecast'!Q84="","",'Low-price monthly forecast'!Q84&lt;=0))),DATE(2028,1,1),"")</f>
        <v/>
      </c>
      <c r="R10" t="str" s="15">
        <f>IF(IF(IF(ISERROR('Low-price monthly forecast'!R84&lt;=0),'Low-price monthly forecast'!R84&lt;=0,IF('Low-price monthly forecast'!R84="","",'Low-price monthly forecast'!R84&lt;=0))="",FALSE,IF(ISERROR('Low-price monthly forecast'!R84&lt;=0),'Low-price monthly forecast'!R84&lt;=0,IF('Low-price monthly forecast'!R84="","",'Low-price monthly forecast'!R84&lt;=0))),DATE(2028,2,1),"")</f>
        <v/>
      </c>
      <c r="S10" t="str" s="15">
        <f>IF(IF(IF(ISERROR('Low-price monthly forecast'!S84&lt;=0),'Low-price monthly forecast'!S84&lt;=0,IF('Low-price monthly forecast'!S84="","",'Low-price monthly forecast'!S84&lt;=0))="",FALSE,IF(ISERROR('Low-price monthly forecast'!S84&lt;=0),'Low-price monthly forecast'!S84&lt;=0,IF('Low-price monthly forecast'!S84="","",'Low-price monthly forecast'!S84&lt;=0))),DATE(2028,3,1),"")</f>
        <v/>
      </c>
    </row>
  </sheetData>
  <mergeCells count="1">
    <mergeCell ref="A1:S1"/>
  </mergeCells>
</worksheet>
</file>

<file path=xl/worksheets/sheet3.xml><?xml version="1.0" encoding="utf-8"?>
<worksheet xmlns="http://schemas.openxmlformats.org/spreadsheetml/2006/main">
  <dimension ref="A1:S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Acquisition slowdown stress</t>
        </is>
      </c>
    </row>
    <row r="2" ht="20" customHeight="1">
      <c r="A2" t="inlineStr" s="2">
        <is>
          <t xml:space="preserve">NightWatch — Forecast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</row>
    <row r="5">
      <c r="A5" t="inlineStr" s="6">
        <is>
          <t xml:space="preserve">NW Reliability stress customers</t>
        </is>
      </c>
      <c r="B5" s="15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inputs'!B91="","",'Model inputs'!B91),IF('Model inputs'!K83="","",'Model inputs'!K83))="",0,IF(IF(IF(ISERROR(DATE(2026,10,1)='Model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inputs'!B91="","",'Model inputs'!B91),IF('Model inputs'!K83="","",'Model inputs'!K83)))*(1-'Model inputs'!B59)+'Model inputs'!B92</f>
        <v>30</v>
      </c>
      <c r="C5" s="15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inputs'!B91="","",'Model inputs'!B91),IF('Acquisition slowdown stress'!B5="","",'Acquisition slowdown stress'!B5))="",0,IF(IF(IF(ISERROR(DATE(2026,11,1)='Model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inputs'!B91="","",'Model inputs'!B91),IF('Acquisition slowdown stress'!B5="","",'Acquisition slowdown stress'!B5)))*(1-'Model inputs'!B59)+'Model inputs'!B92</f>
        <v>58.8</v>
      </c>
      <c r="D5" s="15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inputs'!B91="","",'Model inputs'!B91),IF('Acquisition slowdown stress'!C5="","",'Acquisition slowdown stress'!C5))="",0,IF(IF(IF(ISERROR(DATE(2026,12,1)='Model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inputs'!B91="","",'Model inputs'!B91),IF('Acquisition slowdown stress'!C5="","",'Acquisition slowdown stress'!C5)))*(1-'Model inputs'!B59)+'Model inputs'!B92</f>
        <v>86.448</v>
      </c>
      <c r="E5" s="15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inputs'!B91="","",'Model inputs'!B91),IF('Acquisition slowdown stress'!D5="","",'Acquisition slowdown stress'!D5))="",0,IF(IF(IF(ISERROR(DATE(2027,1,1)='Model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inputs'!B91="","",'Model inputs'!B91),IF('Acquisition slowdown stress'!D5="","",'Acquisition slowdown stress'!D5)))*(1-'Model inputs'!B59)+'Model inputs'!B92</f>
        <v>112.99007999999999</v>
      </c>
      <c r="F5" s="15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inputs'!B91="","",'Model inputs'!B91),IF('Acquisition slowdown stress'!E5="","",'Acquisition slowdown stress'!E5))="",0,IF(IF(IF(ISERROR(DATE(2027,2,1)='Model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inputs'!B91="","",'Model inputs'!B91),IF('Acquisition slowdown stress'!E5="","",'Acquisition slowdown stress'!E5)))*(1-'Model inputs'!B59)+'Model inputs'!B92</f>
        <v>138.47047679999997</v>
      </c>
      <c r="G5" s="15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inputs'!B91="","",'Model inputs'!B91),IF('Acquisition slowdown stress'!F5="","",'Acquisition slowdown stress'!F5))="",0,IF(IF(IF(ISERROR(DATE(2027,3,1)='Model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inputs'!B91="","",'Model inputs'!B91),IF('Acquisition slowdown stress'!F5="","",'Acquisition slowdown stress'!F5)))*(1-'Model inputs'!B59)+'Model inputs'!B92</f>
        <v>162.93165772799998</v>
      </c>
      <c r="H5" s="15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inputs'!B91="","",'Model inputs'!B91),IF('Acquisition slowdown stress'!G5="","",'Acquisition slowdown stress'!G5))="",0,IF(IF(IF(ISERROR(DATE(2027,4,1)='Model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inputs'!B91="","",'Model inputs'!B91),IF('Acquisition slowdown stress'!G5="","",'Acquisition slowdown stress'!G5)))*(1-'Model inputs'!B59)+'Model inputs'!B92</f>
        <v>186.41439141887997</v>
      </c>
      <c r="I5" s="15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inputs'!B91="","",'Model inputs'!B91),IF('Acquisition slowdown stress'!H5="","",'Acquisition slowdown stress'!H5))="",0,IF(IF(IF(ISERROR(DATE(2027,5,1)='Model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inputs'!B91="","",'Model inputs'!B91),IF('Acquisition slowdown stress'!H5="","",'Acquisition slowdown stress'!H5)))*(1-'Model inputs'!B59)+'Model inputs'!B92</f>
        <v>208.95781576212477</v>
      </c>
      <c r="J5" s="15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inputs'!B91="","",'Model inputs'!B91),IF('Acquisition slowdown stress'!I5="","",'Acquisition slowdown stress'!I5))="",0,IF(IF(IF(ISERROR(DATE(2027,6,1)='Model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inputs'!B91="","",'Model inputs'!B91),IF('Acquisition slowdown stress'!I5="","",'Acquisition slowdown stress'!I5)))*(1-'Model inputs'!B59)+'Model inputs'!B92</f>
        <v>230.59950313163978</v>
      </c>
      <c r="K5" s="15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inputs'!B91="","",'Model inputs'!B91),IF('Acquisition slowdown stress'!J5="","",'Acquisition slowdown stress'!J5))="",0,IF(IF(IF(ISERROR(DATE(2027,7,1)='Model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inputs'!B91="","",'Model inputs'!B91),IF('Acquisition slowdown stress'!J5="","",'Acquisition slowdown stress'!J5)))*(1-'Model inputs'!B59)+'Model inputs'!B92</f>
        <v>251.37552300637418</v>
      </c>
      <c r="L5" s="15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inputs'!B91="","",'Model inputs'!B91),IF('Acquisition slowdown stress'!K5="","",'Acquisition slowdown stress'!K5))="",0,IF(IF(IF(ISERROR(DATE(2027,8,1)='Model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inputs'!B91="","",'Model inputs'!B91),IF('Acquisition slowdown stress'!K5="","",'Acquisition slowdown stress'!K5)))*(1-'Model inputs'!B59)+'Model inputs'!B92</f>
        <v>271.3205020861192</v>
      </c>
      <c r="M5" s="15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inputs'!B91="","",'Model inputs'!B91),IF('Acquisition slowdown stress'!L5="","",'Acquisition slowdown stress'!L5))="",0,IF(IF(IF(ISERROR(DATE(2027,9,1)='Model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inputs'!B91="","",'Model inputs'!B91),IF('Acquisition slowdown stress'!L5="","",'Acquisition slowdown stress'!L5)))*(1-'Model inputs'!B59)+'Model inputs'!B92</f>
        <v>290.4676820026744</v>
      </c>
      <c r="N5" s="15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inputs'!B91="","",'Model inputs'!B91),IF('Acquisition slowdown stress'!M5="","",'Acquisition slowdown stress'!M5))="",0,IF(IF(IF(ISERROR(DATE(2027,10,1)='Model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inputs'!B91="","",'Model inputs'!B91),IF('Acquisition slowdown stress'!M5="","",'Acquisition slowdown stress'!M5)))*(1-'Model inputs'!B59)+'Model inputs'!B92</f>
        <v>308.8489747225674</v>
      </c>
      <c r="O5" s="15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inputs'!B91="","",'Model inputs'!B91),IF('Acquisition slowdown stress'!N5="","",'Acquisition slowdown stress'!N5))="",0,IF(IF(IF(ISERROR(DATE(2027,11,1)='Model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inputs'!B91="","",'Model inputs'!B91),IF('Acquisition slowdown stress'!N5="","",'Acquisition slowdown stress'!N5)))*(1-'Model inputs'!B59)+'Model inputs'!B92</f>
        <v>326.4950157336647</v>
      </c>
      <c r="P5" s="15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inputs'!B91="","",'Model inputs'!B91),IF('Acquisition slowdown stress'!O5="","",'Acquisition slowdown stress'!O5))="",0,IF(IF(IF(ISERROR(DATE(2027,12,1)='Model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inputs'!B91="","",'Model inputs'!B91),IF('Acquisition slowdown stress'!O5="","",'Acquisition slowdown stress'!O5)))*(1-'Model inputs'!B59)+'Model inputs'!B92</f>
        <v>343.43521510431805</v>
      </c>
      <c r="Q5" s="15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inputs'!B91="","",'Model inputs'!B91),IF('Acquisition slowdown stress'!P5="","",'Acquisition slowdown stress'!P5))="",0,IF(IF(IF(ISERROR(DATE(2028,1,1)='Model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inputs'!B91="","",'Model inputs'!B91),IF('Acquisition slowdown stress'!P5="","",'Acquisition slowdown stress'!P5)))*(1-'Model inputs'!B59)+'Model inputs'!B92</f>
        <v>359.6978065001453</v>
      </c>
      <c r="R5" s="15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inputs'!B91="","",'Model inputs'!B91),IF('Acquisition slowdown stress'!Q5="","",'Acquisition slowdown stress'!Q5))="",0,IF(IF(IF(ISERROR(DATE(2028,2,1)='Model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inputs'!B91="","",'Model inputs'!B91),IF('Acquisition slowdown stress'!Q5="","",'Acquisition slowdown stress'!Q5)))*(1-'Model inputs'!B59)+'Model inputs'!B92</f>
        <v>375.3098942401395</v>
      </c>
      <c r="S5" s="15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inputs'!B91="","",'Model inputs'!B91),IF('Acquisition slowdown stress'!R5="","",'Acquisition slowdown stress'!R5))="",0,IF(IF(IF(ISERROR(DATE(2028,3,1)='Model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inputs'!B91="","",'Model inputs'!B91),IF('Acquisition slowdown stress'!R5="","",'Acquisition slowdown stress'!R5)))*(1-'Model inputs'!B59)+'Model inputs'!B92</f>
        <v>390.2974984705339</v>
      </c>
    </row>
    <row r="6">
      <c r="A6" t="inlineStr" s="12">
        <is>
          <t xml:space="preserve">NW Reliability stress operating profit</t>
        </is>
      </c>
      <c r="B6" s="18">
        <f>'Acquisition slowdown stress'!B5*'Model inputs'!B9-'Model inputs'!B32-'Model inputs'!B92*'Model inputs'!B6</f>
        <v>-3888.825</v>
      </c>
      <c r="C6" s="18">
        <f>'Acquisition slowdown stress'!C5*'Model inputs'!B9-'Model inputs'!B32-'Model inputs'!B92*'Model inputs'!B6</f>
        <v>-3302.097</v>
      </c>
      <c r="D6" s="18">
        <f>'Acquisition slowdown stress'!D5*'Model inputs'!B9-'Model inputs'!B32-'Model inputs'!B92*'Model inputs'!B6</f>
        <v>-2738.8381200000003</v>
      </c>
      <c r="E6" s="18">
        <f>'Acquisition slowdown stress'!E5*'Model inputs'!B9-'Model inputs'!B32-'Model inputs'!B92*'Model inputs'!B6</f>
        <v>-2198.1095952000005</v>
      </c>
      <c r="F6" s="18">
        <f>'Acquisition slowdown stress'!F5*'Model inputs'!B9-'Model inputs'!B32-'Model inputs'!B92*'Model inputs'!B6</f>
        <v>-1679.0102113920007</v>
      </c>
      <c r="G6" s="18">
        <f>'Acquisition slowdown stress'!G5*'Model inputs'!B9-'Model inputs'!B32-'Model inputs'!B92*'Model inputs'!B6</f>
        <v>-1180.6748029363207</v>
      </c>
      <c r="H6" s="18">
        <f>'Acquisition slowdown stress'!H5*'Model inputs'!B9-'Model inputs'!B32-'Model inputs'!B92*'Model inputs'!B6</f>
        <v>-702.272810818868</v>
      </c>
      <c r="I6" s="18">
        <f>'Acquisition slowdown stress'!I5*'Model inputs'!B9-'Model inputs'!B32-'Model inputs'!B92*'Model inputs'!B6</f>
        <v>-243.0068983861138</v>
      </c>
      <c r="J6" s="18">
        <f>'Acquisition slowdown stress'!J5*'Model inputs'!B9-'Model inputs'!B32-'Model inputs'!B92*'Model inputs'!B6</f>
        <v>197.88837754933138</v>
      </c>
      <c r="K6" s="18">
        <f>'Acquisition slowdown stress'!K5*'Model inputs'!B9-'Model inputs'!B32-'Model inputs'!B92*'Model inputs'!B6</f>
        <v>621.147842447358</v>
      </c>
      <c r="L6" s="18">
        <f>'Acquisition slowdown stress'!L5*'Model inputs'!B9-'Model inputs'!B32-'Model inputs'!B92*'Model inputs'!B6</f>
        <v>1027.4769287494628</v>
      </c>
      <c r="M6" s="18">
        <f>'Acquisition slowdown stress'!M5*'Model inputs'!B9-'Model inputs'!B32-'Model inputs'!B92*'Model inputs'!B6</f>
        <v>1417.5528515994838</v>
      </c>
      <c r="N6" s="18">
        <f>'Acquisition slowdown stress'!N5*'Model inputs'!B9-'Model inputs'!B32-'Model inputs'!B92*'Model inputs'!B6</f>
        <v>1792.025737535504</v>
      </c>
      <c r="O6" s="18">
        <f>'Acquisition slowdown stress'!O5*'Model inputs'!B9-'Model inputs'!B32-'Model inputs'!B92*'Model inputs'!B6</f>
        <v>2151.519708034083</v>
      </c>
      <c r="P6" s="18">
        <f>'Acquisition slowdown stress'!P5*'Model inputs'!B9-'Model inputs'!B32-'Model inputs'!B92*'Model inputs'!B6</f>
        <v>2496.633919712719</v>
      </c>
      <c r="Q6" s="18">
        <f>'Acquisition slowdown stress'!Q5*'Model inputs'!B9-'Model inputs'!B32-'Model inputs'!B92*'Model inputs'!B6</f>
        <v>2827.94356292421</v>
      </c>
      <c r="R6" s="18">
        <f>'Acquisition slowdown stress'!R5*'Model inputs'!B9-'Model inputs'!B32-'Model inputs'!B92*'Model inputs'!B6</f>
        <v>3146.000820407242</v>
      </c>
      <c r="S6" s="18">
        <f>'Acquisition slowdown stress'!S5*'Model inputs'!B9-'Model inputs'!B32-'Model inputs'!B92*'Model inputs'!B6</f>
        <v>3451.3357875909514</v>
      </c>
    </row>
    <row r="7">
      <c r="A7" t="inlineStr" s="12">
        <is>
          <t xml:space="preserve">NW Reliability stress cash</t>
        </is>
      </c>
      <c r="B7" s="18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inputs'!K82="","",'Model inputs'!K82))="",0,IF(IF(IF(ISERROR(DATE(2026,10,1)='Model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inputs'!K82="","",'Model inputs'!K82)))+'Acquisition slowdown stress'!B6</f>
        <v>11111.175</v>
      </c>
      <c r="C7" s="18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inputs'!B90),IF('Acquisition slowdown stress'!B7="","",'Acquisition slowdown stress'!B7))="",0,IF(IF(IF(ISERROR(DATE(2026,11,1)='Model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inputs'!B90),IF('Acquisition slowdown stress'!B7="","",'Acquisition slowdown stress'!B7)))+'Acquisition slowdown stress'!C6</f>
        <v>7809.0779999999995</v>
      </c>
      <c r="D7" s="18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inputs'!B90),IF('Acquisition slowdown stress'!C7="","",'Acquisition slowdown stress'!C7))="",0,IF(IF(IF(ISERROR(DATE(2026,12,1)='Model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inputs'!B90),IF('Acquisition slowdown stress'!C7="","",'Acquisition slowdown stress'!C7)))+'Acquisition slowdown stress'!D6</f>
        <v>5070.239879999999</v>
      </c>
      <c r="E7" s="18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inputs'!B90),IF('Acquisition slowdown stress'!D7="","",'Acquisition slowdown stress'!D7))="",0,IF(IF(IF(ISERROR(DATE(2027,1,1)='Model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inputs'!B90),IF('Acquisition slowdown stress'!D7="","",'Acquisition slowdown stress'!D7)))+'Acquisition slowdown stress'!E6</f>
        <v>2872.1302847999987</v>
      </c>
      <c r="F7" s="18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inputs'!B90),IF('Acquisition slowdown stress'!E7="","",'Acquisition slowdown stress'!E7))="",0,IF(IF(IF(ISERROR(DATE(2027,2,1)='Model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inputs'!B90),IF('Acquisition slowdown stress'!E7="","",'Acquisition slowdown stress'!E7)))+'Acquisition slowdown stress'!F6</f>
        <v>1193.120073407998</v>
      </c>
      <c r="G7" s="18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inputs'!B90),IF('Acquisition slowdown stress'!F7="","",'Acquisition slowdown stress'!F7))="",0,IF(IF(IF(ISERROR(DATE(2027,3,1)='Model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inputs'!B90),IF('Acquisition slowdown stress'!F7="","",'Acquisition slowdown stress'!F7)))+'Acquisition slowdown stress'!G6</f>
        <v>12.445270471677304</v>
      </c>
      <c r="H7" s="18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inputs'!B90),IF('Acquisition slowdown stress'!G7="","",'Acquisition slowdown stress'!G7))="",0,IF(IF(IF(ISERROR(DATE(2027,4,1)='Model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inputs'!B90),IF('Acquisition slowdown stress'!G7="","",'Acquisition slowdown stress'!G7)))+'Acquisition slowdown stress'!H6</f>
        <v>-689.8275403471907</v>
      </c>
      <c r="I7" s="18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inputs'!B90),IF('Acquisition slowdown stress'!H7="","",'Acquisition slowdown stress'!H7))="",0,IF(IF(IF(ISERROR(DATE(2027,5,1)='Model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inputs'!B90),IF('Acquisition slowdown stress'!H7="","",'Acquisition slowdown stress'!H7)))+'Acquisition slowdown stress'!I6</f>
        <v>-932.8344387333045</v>
      </c>
      <c r="J7" s="18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inputs'!B90),IF('Acquisition slowdown stress'!I7="","",'Acquisition slowdown stress'!I7))="",0,IF(IF(IF(ISERROR(DATE(2027,6,1)='Model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inputs'!B90),IF('Acquisition slowdown stress'!I7="","",'Acquisition slowdown stress'!I7)))+'Acquisition slowdown stress'!J6</f>
        <v>-734.9460611839731</v>
      </c>
      <c r="K7" s="18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inputs'!B90),IF('Acquisition slowdown stress'!J7="","",'Acquisition slowdown stress'!J7))="",0,IF(IF(IF(ISERROR(DATE(2027,7,1)='Model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inputs'!B90),IF('Acquisition slowdown stress'!J7="","",'Acquisition slowdown stress'!J7)))+'Acquisition slowdown stress'!K6</f>
        <v>-113.79821873661513</v>
      </c>
      <c r="L7" s="18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inputs'!B90),IF('Acquisition slowdown stress'!K7="","",'Acquisition slowdown stress'!K7))="",0,IF(IF(IF(ISERROR(DATE(2027,8,1)='Model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inputs'!B90),IF('Acquisition slowdown stress'!K7="","",'Acquisition slowdown stress'!K7)))+'Acquisition slowdown stress'!L6</f>
        <v>913.6787100128477</v>
      </c>
      <c r="M7" s="18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inputs'!B90),IF('Acquisition slowdown stress'!L7="","",'Acquisition slowdown stress'!L7))="",0,IF(IF(IF(ISERROR(DATE(2027,9,1)='Model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inputs'!B90),IF('Acquisition slowdown stress'!L7="","",'Acquisition slowdown stress'!L7)))+'Acquisition slowdown stress'!M6</f>
        <v>2331.2315616123315</v>
      </c>
      <c r="N7" s="18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inputs'!B90),IF('Acquisition slowdown stress'!M7="","",'Acquisition slowdown stress'!M7))="",0,IF(IF(IF(ISERROR(DATE(2027,10,1)='Model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inputs'!B90),IF('Acquisition slowdown stress'!M7="","",'Acquisition slowdown stress'!M7)))+'Acquisition slowdown stress'!N6</f>
        <v>4123.2572991478355</v>
      </c>
      <c r="O7" s="18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inputs'!B90),IF('Acquisition slowdown stress'!N7="","",'Acquisition slowdown stress'!N7))="",0,IF(IF(IF(ISERROR(DATE(2027,11,1)='Model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inputs'!B90),IF('Acquisition slowdown stress'!N7="","",'Acquisition slowdown stress'!N7)))+'Acquisition slowdown stress'!O6</f>
        <v>6274.777007181919</v>
      </c>
      <c r="P7" s="18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inputs'!B90),IF('Acquisition slowdown stress'!O7="","",'Acquisition slowdown stress'!O7))="",0,IF(IF(IF(ISERROR(DATE(2027,12,1)='Model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inputs'!B90),IF('Acquisition slowdown stress'!O7="","",'Acquisition slowdown stress'!O7)))+'Acquisition slowdown stress'!P6</f>
        <v>8771.410926894638</v>
      </c>
      <c r="Q7" s="18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inputs'!B90),IF('Acquisition slowdown stress'!P7="","",'Acquisition slowdown stress'!P7))="",0,IF(IF(IF(ISERROR(DATE(2028,1,1)='Model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inputs'!B90),IF('Acquisition slowdown stress'!P7="","",'Acquisition slowdown stress'!P7)))+'Acquisition slowdown stress'!Q6</f>
        <v>11599.354489818848</v>
      </c>
      <c r="R7" s="18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inputs'!B90),IF('Acquisition slowdown stress'!Q7="","",'Acquisition slowdown stress'!Q7))="",0,IF(IF(IF(ISERROR(DATE(2028,2,1)='Model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inputs'!B90),IF('Acquisition slowdown stress'!Q7="","",'Acquisition slowdown stress'!Q7)))+'Acquisition slowdown stress'!R6</f>
        <v>14745.35531022609</v>
      </c>
      <c r="S7" s="18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inputs'!B90),IF('Acquisition slowdown stress'!R7="","",'Acquisition slowdown stress'!R7))="",0,IF(IF(IF(ISERROR(DATE(2028,3,1)='Model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inputs'!B90),IF('Acquisition slowdown stress'!R7="","",'Acquisition slowdown stress'!R7)))+'Acquisition slowdown stress'!S6</f>
        <v>18196.69109781704</v>
      </c>
    </row>
    <row r="8">
      <c r="A8" t="inlineStr" s="12">
        <is>
          <t xml:space="preserve">NW Reliability stress break-even marker</t>
        </is>
      </c>
      <c r="B8" t="str" s="14">
        <f>IF(IF(IF(ISERROR('Acquisition slowdown stress'!B6&gt;=0),'Acquisition slowdown stress'!B6&gt;=0,IF('Acquisition slowdown stress'!B6="","",'Acquisition slowdown stress'!B6&gt;=0))="",FALSE,IF(ISERROR('Acquisition slowdown stress'!B6&gt;=0),'Acquisition slowdown stress'!B6&gt;=0,IF('Acquisition slowdown stress'!B6="","",'Acquisition slowdown stress'!B6&gt;=0))),DATE(2026,10,1),"")</f>
        <v/>
      </c>
      <c r="C8" t="str" s="14">
        <f>IF(IF(IF(ISERROR('Acquisition slowdown stress'!C6&gt;=0),'Acquisition slowdown stress'!C6&gt;=0,IF('Acquisition slowdown stress'!C6="","",'Acquisition slowdown stress'!C6&gt;=0))="",FALSE,IF(ISERROR('Acquisition slowdown stress'!C6&gt;=0),'Acquisition slowdown stress'!C6&gt;=0,IF('Acquisition slowdown stress'!C6="","",'Acquisition slowdown stress'!C6&gt;=0))),DATE(2026,11,1),"")</f>
        <v/>
      </c>
      <c r="D8" t="str" s="14">
        <f>IF(IF(IF(ISERROR('Acquisition slowdown stress'!D6&gt;=0),'Acquisition slowdown stress'!D6&gt;=0,IF('Acquisition slowdown stress'!D6="","",'Acquisition slowdown stress'!D6&gt;=0))="",FALSE,IF(ISERROR('Acquisition slowdown stress'!D6&gt;=0),'Acquisition slowdown stress'!D6&gt;=0,IF('Acquisition slowdown stress'!D6="","",'Acquisition slowdown stress'!D6&gt;=0))),DATE(2026,12,1),"")</f>
        <v/>
      </c>
      <c r="E8" t="str" s="14">
        <f>IF(IF(IF(ISERROR('Acquisition slowdown stress'!E6&gt;=0),'Acquisition slowdown stress'!E6&gt;=0,IF('Acquisition slowdown stress'!E6="","",'Acquisition slowdown stress'!E6&gt;=0))="",FALSE,IF(ISERROR('Acquisition slowdown stress'!E6&gt;=0),'Acquisition slowdown stress'!E6&gt;=0,IF('Acquisition slowdown stress'!E6="","",'Acquisition slowdown stress'!E6&gt;=0))),DATE(2027,1,1),"")</f>
        <v/>
      </c>
      <c r="F8" t="str" s="14">
        <f>IF(IF(IF(ISERROR('Acquisition slowdown stress'!F6&gt;=0),'Acquisition slowdown stress'!F6&gt;=0,IF('Acquisition slowdown stress'!F6="","",'Acquisition slowdown stress'!F6&gt;=0))="",FALSE,IF(ISERROR('Acquisition slowdown stress'!F6&gt;=0),'Acquisition slowdown stress'!F6&gt;=0,IF('Acquisition slowdown stress'!F6="","",'Acquisition slowdown stress'!F6&gt;=0))),DATE(2027,2,1),"")</f>
        <v/>
      </c>
      <c r="G8" t="str" s="14">
        <f>IF(IF(IF(ISERROR('Acquisition slowdown stress'!G6&gt;=0),'Acquisition slowdown stress'!G6&gt;=0,IF('Acquisition slowdown stress'!G6="","",'Acquisition slowdown stress'!G6&gt;=0))="",FALSE,IF(ISERROR('Acquisition slowdown stress'!G6&gt;=0),'Acquisition slowdown stress'!G6&gt;=0,IF('Acquisition slowdown stress'!G6="","",'Acquisition slowdown stress'!G6&gt;=0))),DATE(2027,3,1),"")</f>
        <v/>
      </c>
      <c r="H8" t="str" s="14">
        <f>IF(IF(IF(ISERROR('Acquisition slowdown stress'!H6&gt;=0),'Acquisition slowdown stress'!H6&gt;=0,IF('Acquisition slowdown stress'!H6="","",'Acquisition slowdown stress'!H6&gt;=0))="",FALSE,IF(ISERROR('Acquisition slowdown stress'!H6&gt;=0),'Acquisition slowdown stress'!H6&gt;=0,IF('Acquisition slowdown stress'!H6="","",'Acquisition slowdown stress'!H6&gt;=0))),DATE(2027,4,1),"")</f>
        <v/>
      </c>
      <c r="I8" t="str" s="14">
        <f>IF(IF(IF(ISERROR('Acquisition slowdown stress'!I6&gt;=0),'Acquisition slowdown stress'!I6&gt;=0,IF('Acquisition slowdown stress'!I6="","",'Acquisition slowdown stress'!I6&gt;=0))="",FALSE,IF(ISERROR('Acquisition slowdown stress'!I6&gt;=0),'Acquisition slowdown stress'!I6&gt;=0,IF('Acquisition slowdown stress'!I6="","",'Acquisition slowdown stress'!I6&gt;=0))),DATE(2027,5,1),"")</f>
        <v/>
      </c>
      <c r="J8" s="17">
        <f>IF(IF(IF(ISERROR('Acquisition slowdown stress'!J6&gt;=0),'Acquisition slowdown stress'!J6&gt;=0,IF('Acquisition slowdown stress'!J6="","",'Acquisition slowdown stress'!J6&gt;=0))="",FALSE,IF(ISERROR('Acquisition slowdown stress'!J6&gt;=0),'Acquisition slowdown stress'!J6&gt;=0,IF('Acquisition slowdown stress'!J6="","",'Acquisition slowdown stress'!J6&gt;=0))),DATE(2027,6,1),"")</f>
        <v>46539</v>
      </c>
      <c r="K8" s="17">
        <f>IF(IF(IF(ISERROR('Acquisition slowdown stress'!K6&gt;=0),'Acquisition slowdown stress'!K6&gt;=0,IF('Acquisition slowdown stress'!K6="","",'Acquisition slowdown stress'!K6&gt;=0))="",FALSE,IF(ISERROR('Acquisition slowdown stress'!K6&gt;=0),'Acquisition slowdown stress'!K6&gt;=0,IF('Acquisition slowdown stress'!K6="","",'Acquisition slowdown stress'!K6&gt;=0))),DATE(2027,7,1),"")</f>
        <v>46569</v>
      </c>
      <c r="L8" s="17">
        <f>IF(IF(IF(ISERROR('Acquisition slowdown stress'!L6&gt;=0),'Acquisition slowdown stress'!L6&gt;=0,IF('Acquisition slowdown stress'!L6="","",'Acquisition slowdown stress'!L6&gt;=0))="",FALSE,IF(ISERROR('Acquisition slowdown stress'!L6&gt;=0),'Acquisition slowdown stress'!L6&gt;=0,IF('Acquisition slowdown stress'!L6="","",'Acquisition slowdown stress'!L6&gt;=0))),DATE(2027,8,1),"")</f>
        <v>46600</v>
      </c>
      <c r="M8" s="17">
        <f>IF(IF(IF(ISERROR('Acquisition slowdown stress'!M6&gt;=0),'Acquisition slowdown stress'!M6&gt;=0,IF('Acquisition slowdown stress'!M6="","",'Acquisition slowdown stress'!M6&gt;=0))="",FALSE,IF(ISERROR('Acquisition slowdown stress'!M6&gt;=0),'Acquisition slowdown stress'!M6&gt;=0,IF('Acquisition slowdown stress'!M6="","",'Acquisition slowdown stress'!M6&gt;=0))),DATE(2027,9,1),"")</f>
        <v>46631</v>
      </c>
      <c r="N8" s="17">
        <f>IF(IF(IF(ISERROR('Acquisition slowdown stress'!N6&gt;=0),'Acquisition slowdown stress'!N6&gt;=0,IF('Acquisition slowdown stress'!N6="","",'Acquisition slowdown stress'!N6&gt;=0))="",FALSE,IF(ISERROR('Acquisition slowdown stress'!N6&gt;=0),'Acquisition slowdown stress'!N6&gt;=0,IF('Acquisition slowdown stress'!N6="","",'Acquisition slowdown stress'!N6&gt;=0))),DATE(2027,10,1),"")</f>
        <v>46661</v>
      </c>
      <c r="O8" s="17">
        <f>IF(IF(IF(ISERROR('Acquisition slowdown stress'!O6&gt;=0),'Acquisition slowdown stress'!O6&gt;=0,IF('Acquisition slowdown stress'!O6="","",'Acquisition slowdown stress'!O6&gt;=0))="",FALSE,IF(ISERROR('Acquisition slowdown stress'!O6&gt;=0),'Acquisition slowdown stress'!O6&gt;=0,IF('Acquisition slowdown stress'!O6="","",'Acquisition slowdown stress'!O6&gt;=0))),DATE(2027,11,1),"")</f>
        <v>46692</v>
      </c>
      <c r="P8" s="17">
        <f>IF(IF(IF(ISERROR('Acquisition slowdown stress'!P6&gt;=0),'Acquisition slowdown stress'!P6&gt;=0,IF('Acquisition slowdown stress'!P6="","",'Acquisition slowdown stress'!P6&gt;=0))="",FALSE,IF(ISERROR('Acquisition slowdown stress'!P6&gt;=0),'Acquisition slowdown stress'!P6&gt;=0,IF('Acquisition slowdown stress'!P6="","",'Acquisition slowdown stress'!P6&gt;=0))),DATE(2027,12,1),"")</f>
        <v>46722</v>
      </c>
      <c r="Q8" s="17">
        <f>IF(IF(IF(ISERROR('Acquisition slowdown stress'!Q6&gt;=0),'Acquisition slowdown stress'!Q6&gt;=0,IF('Acquisition slowdown stress'!Q6="","",'Acquisition slowdown stress'!Q6&gt;=0))="",FALSE,IF(ISERROR('Acquisition slowdown stress'!Q6&gt;=0),'Acquisition slowdown stress'!Q6&gt;=0,IF('Acquisition slowdown stress'!Q6="","",'Acquisition slowdown stress'!Q6&gt;=0))),DATE(2028,1,1),"")</f>
        <v>46753</v>
      </c>
      <c r="R8" s="17">
        <f>IF(IF(IF(ISERROR('Acquisition slowdown stress'!R6&gt;=0),'Acquisition slowdown stress'!R6&gt;=0,IF('Acquisition slowdown stress'!R6="","",'Acquisition slowdown stress'!R6&gt;=0))="",FALSE,IF(ISERROR('Acquisition slowdown stress'!R6&gt;=0),'Acquisition slowdown stress'!R6&gt;=0,IF('Acquisition slowdown stress'!R6="","",'Acquisition slowdown stress'!R6&gt;=0))),DATE(2028,2,1),"")</f>
        <v>46784</v>
      </c>
      <c r="S8" s="17">
        <f>IF(IF(IF(ISERROR('Acquisition slowdown stress'!S6&gt;=0),'Acquisition slowdown stress'!S6&gt;=0,IF('Acquisition slowdown stress'!S6="","",'Acquisition slowdown stress'!S6&gt;=0))="",FALSE,IF(ISERROR('Acquisition slowdown stress'!S6&gt;=0),'Acquisition slowdown stress'!S6&gt;=0,IF('Acquisition slowdown stress'!S6="","",'Acquisition slowdown stress'!S6&gt;=0))),DATE(2028,3,1),"")</f>
        <v>46813</v>
      </c>
    </row>
    <row r="9">
      <c r="A9" t="inlineStr" s="6">
        <is>
          <t xml:space="preserve">NW Reliability stress exhaustion marker</t>
        </is>
      </c>
      <c r="B9" t="str" s="15">
        <f>IF(IF(IF(ISERROR('Acquisition slowdown stress'!B7&lt;=0),'Acquisition slowdown stress'!B7&lt;=0,IF('Acquisition slowdown stress'!B7="","",'Acquisition slowdown stress'!B7&lt;=0))="",FALSE,IF(ISERROR('Acquisition slowdown stress'!B7&lt;=0),'Acquisition slowdown stress'!B7&lt;=0,IF('Acquisition slowdown stress'!B7="","",'Acquisition slowdown stress'!B7&lt;=0))),DATE(2026,10,1),"")</f>
        <v/>
      </c>
      <c r="C9" t="str" s="15">
        <f>IF(IF(IF(ISERROR('Acquisition slowdown stress'!C7&lt;=0),'Acquisition slowdown stress'!C7&lt;=0,IF('Acquisition slowdown stress'!C7="","",'Acquisition slowdown stress'!C7&lt;=0))="",FALSE,IF(ISERROR('Acquisition slowdown stress'!C7&lt;=0),'Acquisition slowdown stress'!C7&lt;=0,IF('Acquisition slowdown stress'!C7="","",'Acquisition slowdown stress'!C7&lt;=0))),DATE(2026,11,1),"")</f>
        <v/>
      </c>
      <c r="D9" t="str" s="15">
        <f>IF(IF(IF(ISERROR('Acquisition slowdown stress'!D7&lt;=0),'Acquisition slowdown stress'!D7&lt;=0,IF('Acquisition slowdown stress'!D7="","",'Acquisition slowdown stress'!D7&lt;=0))="",FALSE,IF(ISERROR('Acquisition slowdown stress'!D7&lt;=0),'Acquisition slowdown stress'!D7&lt;=0,IF('Acquisition slowdown stress'!D7="","",'Acquisition slowdown stress'!D7&lt;=0))),DATE(2026,12,1),"")</f>
        <v/>
      </c>
      <c r="E9" t="str" s="15">
        <f>IF(IF(IF(ISERROR('Acquisition slowdown stress'!E7&lt;=0),'Acquisition slowdown stress'!E7&lt;=0,IF('Acquisition slowdown stress'!E7="","",'Acquisition slowdown stress'!E7&lt;=0))="",FALSE,IF(ISERROR('Acquisition slowdown stress'!E7&lt;=0),'Acquisition slowdown stress'!E7&lt;=0,IF('Acquisition slowdown stress'!E7="","",'Acquisition slowdown stress'!E7&lt;=0))),DATE(2027,1,1),"")</f>
        <v/>
      </c>
      <c r="F9" t="str" s="15">
        <f>IF(IF(IF(ISERROR('Acquisition slowdown stress'!F7&lt;=0),'Acquisition slowdown stress'!F7&lt;=0,IF('Acquisition slowdown stress'!F7="","",'Acquisition slowdown stress'!F7&lt;=0))="",FALSE,IF(ISERROR('Acquisition slowdown stress'!F7&lt;=0),'Acquisition slowdown stress'!F7&lt;=0,IF('Acquisition slowdown stress'!F7="","",'Acquisition slowdown stress'!F7&lt;=0))),DATE(2027,2,1),"")</f>
        <v/>
      </c>
      <c r="G9" t="str" s="15">
        <f>IF(IF(IF(ISERROR('Acquisition slowdown stress'!G7&lt;=0),'Acquisition slowdown stress'!G7&lt;=0,IF('Acquisition slowdown stress'!G7="","",'Acquisition slowdown stress'!G7&lt;=0))="",FALSE,IF(ISERROR('Acquisition slowdown stress'!G7&lt;=0),'Acquisition slowdown stress'!G7&lt;=0,IF('Acquisition slowdown stress'!G7="","",'Acquisition slowdown stress'!G7&lt;=0))),DATE(2027,3,1),"")</f>
        <v/>
      </c>
      <c r="H9" s="16">
        <f>IF(IF(IF(ISERROR('Acquisition slowdown stress'!H7&lt;=0),'Acquisition slowdown stress'!H7&lt;=0,IF('Acquisition slowdown stress'!H7="","",'Acquisition slowdown stress'!H7&lt;=0))="",FALSE,IF(ISERROR('Acquisition slowdown stress'!H7&lt;=0),'Acquisition slowdown stress'!H7&lt;=0,IF('Acquisition slowdown stress'!H7="","",'Acquisition slowdown stress'!H7&lt;=0))),DATE(2027,4,1),"")</f>
        <v>46478</v>
      </c>
      <c r="I9" s="16">
        <f>IF(IF(IF(ISERROR('Acquisition slowdown stress'!I7&lt;=0),'Acquisition slowdown stress'!I7&lt;=0,IF('Acquisition slowdown stress'!I7="","",'Acquisition slowdown stress'!I7&lt;=0))="",FALSE,IF(ISERROR('Acquisition slowdown stress'!I7&lt;=0),'Acquisition slowdown stress'!I7&lt;=0,IF('Acquisition slowdown stress'!I7="","",'Acquisition slowdown stress'!I7&lt;=0))),DATE(2027,5,1),"")</f>
        <v>46508</v>
      </c>
      <c r="J9" s="16">
        <f>IF(IF(IF(ISERROR('Acquisition slowdown stress'!J7&lt;=0),'Acquisition slowdown stress'!J7&lt;=0,IF('Acquisition slowdown stress'!J7="","",'Acquisition slowdown stress'!J7&lt;=0))="",FALSE,IF(ISERROR('Acquisition slowdown stress'!J7&lt;=0),'Acquisition slowdown stress'!J7&lt;=0,IF('Acquisition slowdown stress'!J7="","",'Acquisition slowdown stress'!J7&lt;=0))),DATE(2027,6,1),"")</f>
        <v>46539</v>
      </c>
      <c r="K9" s="16">
        <f>IF(IF(IF(ISERROR('Acquisition slowdown stress'!K7&lt;=0),'Acquisition slowdown stress'!K7&lt;=0,IF('Acquisition slowdown stress'!K7="","",'Acquisition slowdown stress'!K7&lt;=0))="",FALSE,IF(ISERROR('Acquisition slowdown stress'!K7&lt;=0),'Acquisition slowdown stress'!K7&lt;=0,IF('Acquisition slowdown stress'!K7="","",'Acquisition slowdown stress'!K7&lt;=0))),DATE(2027,7,1),"")</f>
        <v>46569</v>
      </c>
      <c r="L9" t="str" s="15">
        <f>IF(IF(IF(ISERROR('Acquisition slowdown stress'!L7&lt;=0),'Acquisition slowdown stress'!L7&lt;=0,IF('Acquisition slowdown stress'!L7="","",'Acquisition slowdown stress'!L7&lt;=0))="",FALSE,IF(ISERROR('Acquisition slowdown stress'!L7&lt;=0),'Acquisition slowdown stress'!L7&lt;=0,IF('Acquisition slowdown stress'!L7="","",'Acquisition slowdown stress'!L7&lt;=0))),DATE(2027,8,1),"")</f>
        <v/>
      </c>
      <c r="M9" t="str" s="15">
        <f>IF(IF(IF(ISERROR('Acquisition slowdown stress'!M7&lt;=0),'Acquisition slowdown stress'!M7&lt;=0,IF('Acquisition slowdown stress'!M7="","",'Acquisition slowdown stress'!M7&lt;=0))="",FALSE,IF(ISERROR('Acquisition slowdown stress'!M7&lt;=0),'Acquisition slowdown stress'!M7&lt;=0,IF('Acquisition slowdown stress'!M7="","",'Acquisition slowdown stress'!M7&lt;=0))),DATE(2027,9,1),"")</f>
        <v/>
      </c>
      <c r="N9" t="str" s="15">
        <f>IF(IF(IF(ISERROR('Acquisition slowdown stress'!N7&lt;=0),'Acquisition slowdown stress'!N7&lt;=0,IF('Acquisition slowdown stress'!N7="","",'Acquisition slowdown stress'!N7&lt;=0))="",FALSE,IF(ISERROR('Acquisition slowdown stress'!N7&lt;=0),'Acquisition slowdown stress'!N7&lt;=0,IF('Acquisition slowdown stress'!N7="","",'Acquisition slowdown stress'!N7&lt;=0))),DATE(2027,10,1),"")</f>
        <v/>
      </c>
      <c r="O9" t="str" s="15">
        <f>IF(IF(IF(ISERROR('Acquisition slowdown stress'!O7&lt;=0),'Acquisition slowdown stress'!O7&lt;=0,IF('Acquisition slowdown stress'!O7="","",'Acquisition slowdown stress'!O7&lt;=0))="",FALSE,IF(ISERROR('Acquisition slowdown stress'!O7&lt;=0),'Acquisition slowdown stress'!O7&lt;=0,IF('Acquisition slowdown stress'!O7="","",'Acquisition slowdown stress'!O7&lt;=0))),DATE(2027,11,1),"")</f>
        <v/>
      </c>
      <c r="P9" t="str" s="15">
        <f>IF(IF(IF(ISERROR('Acquisition slowdown stress'!P7&lt;=0),'Acquisition slowdown stress'!P7&lt;=0,IF('Acquisition slowdown stress'!P7="","",'Acquisition slowdown stress'!P7&lt;=0))="",FALSE,IF(ISERROR('Acquisition slowdown stress'!P7&lt;=0),'Acquisition slowdown stress'!P7&lt;=0,IF('Acquisition slowdown stress'!P7="","",'Acquisition slowdown stress'!P7&lt;=0))),DATE(2027,12,1),"")</f>
        <v/>
      </c>
      <c r="Q9" t="str" s="15">
        <f>IF(IF(IF(ISERROR('Acquisition slowdown stress'!Q7&lt;=0),'Acquisition slowdown stress'!Q7&lt;=0,IF('Acquisition slowdown stress'!Q7="","",'Acquisition slowdown stress'!Q7&lt;=0))="",FALSE,IF(ISERROR('Acquisition slowdown stress'!Q7&lt;=0),'Acquisition slowdown stress'!Q7&lt;=0,IF('Acquisition slowdown stress'!Q7="","",'Acquisition slowdown stress'!Q7&lt;=0))),DATE(2028,1,1),"")</f>
        <v/>
      </c>
      <c r="R9" t="str" s="15">
        <f>IF(IF(IF(ISERROR('Acquisition slowdown stress'!R7&lt;=0),'Acquisition slowdown stress'!R7&lt;=0,IF('Acquisition slowdown stress'!R7="","",'Acquisition slowdown stress'!R7&lt;=0))="",FALSE,IF(ISERROR('Acquisition slowdown stress'!R7&lt;=0),'Acquisition slowdown stress'!R7&lt;=0,IF('Acquisition slowdown stress'!R7="","",'Acquisition slowdown stress'!R7&lt;=0))),DATE(2028,2,1),"")</f>
        <v/>
      </c>
      <c r="S9" t="str" s="15">
        <f>IF(IF(IF(ISERROR('Acquisition slowdown stress'!S7&lt;=0),'Acquisition slowdown stress'!S7&lt;=0,IF('Acquisition slowdown stress'!S7="","",'Acquisition slowdown stress'!S7&lt;=0))="",FALSE,IF(ISERROR('Acquisition slowdown stress'!S7&lt;=0),'Acquisition slowdown stress'!S7&lt;=0,IF('Acquisition slowdown stress'!S7="","",'Acquisition slowdown stress'!S7&lt;=0))),DATE(2028,3,1),"")</f>
        <v/>
      </c>
    </row>
  </sheetData>
  <mergeCells count="1">
    <mergeCell ref="A1:S1"/>
  </mergeCells>
</worksheet>
</file>

<file path=xl/worksheets/sheet4.xml><?xml version="1.0" encoding="utf-8"?>
<worksheet xmlns="http://schemas.openxmlformats.org/spreadsheetml/2006/main">
  <dimension ref="A1:AC25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Value</t>
        </is>
      </c>
      <c r="C5" t="inlineStr" s="4">
        <is>
          <t xml:space="preserve">2026-01</t>
        </is>
      </c>
      <c r="D5" t="inlineStr" s="5">
        <is>
          <t xml:space="preserve">2026-02</t>
        </is>
      </c>
      <c r="E5" t="inlineStr" s="5">
        <is>
          <t xml:space="preserve">2026-03</t>
        </is>
      </c>
      <c r="F5" t="inlineStr" s="4">
        <is>
          <t xml:space="preserve">2026-04</t>
        </is>
      </c>
      <c r="G5" t="inlineStr" s="5">
        <is>
          <t xml:space="preserve">2026-05</t>
        </is>
      </c>
      <c r="H5" t="inlineStr" s="5">
        <is>
          <t xml:space="preserve">2026-06</t>
        </is>
      </c>
      <c r="I5" t="inlineStr" s="4">
        <is>
          <t xml:space="preserve">2026-07</t>
        </is>
      </c>
      <c r="J5" t="inlineStr" s="5">
        <is>
          <t xml:space="preserve">2026-08</t>
        </is>
      </c>
      <c r="K5" t="inlineStr" s="5">
        <is>
          <t xml:space="preserve">2026-09</t>
        </is>
      </c>
      <c r="L5" t="inlineStr" s="4">
        <is>
          <t xml:space="preserve">2026-10</t>
        </is>
      </c>
      <c r="M5" t="inlineStr" s="5">
        <is>
          <t xml:space="preserve">2026-11</t>
        </is>
      </c>
      <c r="N5" t="inlineStr" s="5">
        <is>
          <t xml:space="preserve">2026-12</t>
        </is>
      </c>
      <c r="O5" t="inlineStr" s="4">
        <is>
          <t xml:space="preserve">2027-01</t>
        </is>
      </c>
      <c r="P5" t="inlineStr" s="5">
        <is>
          <t xml:space="preserve">2027-02</t>
        </is>
      </c>
      <c r="Q5" t="inlineStr" s="5">
        <is>
          <t xml:space="preserve">2027-03</t>
        </is>
      </c>
      <c r="R5" t="inlineStr" s="4">
        <is>
          <t xml:space="preserve">2027-04</t>
        </is>
      </c>
      <c r="S5" t="inlineStr" s="5">
        <is>
          <t xml:space="preserve">2027-05</t>
        </is>
      </c>
      <c r="T5" t="inlineStr" s="5">
        <is>
          <t xml:space="preserve">2027-06</t>
        </is>
      </c>
      <c r="U5" t="inlineStr" s="4">
        <is>
          <t xml:space="preserve">2027-07</t>
        </is>
      </c>
      <c r="V5" t="inlineStr" s="5">
        <is>
          <t xml:space="preserve">2027-08</t>
        </is>
      </c>
      <c r="W5" t="inlineStr" s="5">
        <is>
          <t xml:space="preserve">2027-09</t>
        </is>
      </c>
      <c r="X5" t="inlineStr" s="4">
        <is>
          <t xml:space="preserve">2027-10</t>
        </is>
      </c>
      <c r="Y5" t="inlineStr" s="5">
        <is>
          <t xml:space="preserve">2027-11</t>
        </is>
      </c>
      <c r="Z5" t="inlineStr" s="5">
        <is>
          <t xml:space="preserve">2027-12</t>
        </is>
      </c>
      <c r="AA5" t="inlineStr" s="4">
        <is>
          <t xml:space="preserve">2028-01</t>
        </is>
      </c>
      <c r="AB5" t="inlineStr" s="5">
        <is>
          <t xml:space="preserve">2028-02</t>
        </is>
      </c>
      <c r="AC5" t="inlineStr" s="5">
        <is>
          <t xml:space="preserve">2028-03</t>
        </is>
      </c>
    </row>
    <row r="6">
      <c r="A6" t="inlineStr" s="20">
        <is>
          <t xml:space="preserve">NW Acquisition cost</t>
        </is>
      </c>
      <c r="B6" s="11">
        <f>15</f>
        <v>15</v>
      </c>
    </row>
    <row r="7">
      <c r="A7" t="inlineStr" s="20">
        <is>
          <t xml:space="preserve">NW Acquisition expenses · Low-price monthly forecast</t>
        </is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f>IF('Model inputs'!B8="","",'Model inputs'!B8)</f>
        <v>600</v>
      </c>
      <c r="M7" s="11">
        <f>IF('Model inputs'!B8="","",'Model inputs'!B8)</f>
        <v>600</v>
      </c>
      <c r="N7" s="11">
        <f>IF('Model inputs'!B8="","",'Model inputs'!B8)</f>
        <v>600</v>
      </c>
      <c r="O7" s="11">
        <f>IF('Model inputs'!B8="","",'Model inputs'!B8)</f>
        <v>600</v>
      </c>
      <c r="P7" s="11">
        <f>IF('Model inputs'!B8="","",'Model inputs'!B8)</f>
        <v>600</v>
      </c>
      <c r="Q7" s="11">
        <f>IF('Model inputs'!B8="","",'Model inputs'!B8)</f>
        <v>600</v>
      </c>
      <c r="R7" s="11">
        <f>IF('Model inputs'!B8="","",'Model inputs'!B8)</f>
        <v>600</v>
      </c>
      <c r="S7" s="11">
        <f>IF('Model inputs'!B8="","",'Model inputs'!B8)</f>
        <v>600</v>
      </c>
      <c r="T7" s="11">
        <f>IF('Model inputs'!B8="","",'Model inputs'!B8)</f>
        <v>600</v>
      </c>
      <c r="U7" s="11">
        <f>IF('Model inputs'!B8="","",'Model inputs'!B8)</f>
        <v>600</v>
      </c>
      <c r="V7" s="11">
        <f>IF('Model inputs'!B8="","",'Model inputs'!B8)</f>
        <v>600</v>
      </c>
      <c r="W7" s="11">
        <f>IF('Model inputs'!B8="","",'Model inputs'!B8)</f>
        <v>600</v>
      </c>
      <c r="X7" s="11">
        <f>IF('Model inputs'!B8="","",'Model inputs'!B8)</f>
        <v>600</v>
      </c>
      <c r="Y7" s="11">
        <f>IF('Model inputs'!B8="","",'Model inputs'!B8)</f>
        <v>600</v>
      </c>
      <c r="Z7" s="11">
        <f>IF('Model inputs'!B8="","",'Model inputs'!B8)</f>
        <v>600</v>
      </c>
      <c r="AA7" s="11">
        <f>IF('Model inputs'!B8="","",'Model inputs'!B8)</f>
        <v>600</v>
      </c>
      <c r="AB7" s="11">
        <f>IF('Model inputs'!B8="","",'Model inputs'!B8)</f>
        <v>600</v>
      </c>
      <c r="AC7" s="11">
        <f>IF('Model inputs'!B8="","",'Model inputs'!B8)</f>
        <v>600</v>
      </c>
    </row>
    <row r="8">
      <c r="A8" t="inlineStr" s="20">
        <is>
          <t xml:space="preserve">NW Acquisition spend · Low-price monthly forecast</t>
        </is>
      </c>
      <c r="B8" s="14">
        <f>'Model inputs'!B65*'Model inputs'!B6</f>
        <v>600</v>
      </c>
    </row>
    <row r="9">
      <c r="A9" t="inlineStr" s="20">
        <is>
          <t xml:space="preserve">NW Blended gross profit</t>
        </is>
      </c>
      <c r="B9" s="11">
        <f>'Model inputs'!B42*'Model inputs'!B24+'Model inputs'!B43*'Model inputs'!B25+'Model inputs'!B40*'Model inputs'!B22</f>
        <v>20.3725</v>
      </c>
    </row>
    <row r="10">
      <c r="A10" t="inlineStr" s="20">
        <is>
          <t xml:space="preserve">NW BYOK-test blended gross profit · Low-price monthly forecast</t>
        </is>
      </c>
      <c r="B10" s="11">
        <f>'Model inputs'!B157*'Model inputs'!B24+'Model inputs'!B158*'Model inputs'!B25+'Model inputs'!B155*'Model inputs'!B22</f>
        <v>22.112499999999997</v>
      </c>
    </row>
    <row r="11">
      <c r="A11" t="inlineStr" s="20">
        <is>
          <t xml:space="preserve">NW BYOK-test blended revenue</t>
        </is>
      </c>
      <c r="B11" s="11">
        <f>'Model inputs'!B162*'Model inputs'!B24+'Model inputs'!B163*'Model inputs'!B25+'Model inputs'!B160*'Model inputs'!B22</f>
        <v>28.85</v>
      </c>
    </row>
    <row r="12">
      <c r="A12" t="inlineStr" s="20">
        <is>
          <t xml:space="preserve">NW BYOK-test cash balance · Low-price monthly forecast</t>
        </is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inputs'!K12="","",'Model inputs'!K12))="",0,IF(IF(IF(ISERROR(DATE(2026,10,1)='Model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inputs'!K12="","",'Model inputs'!K12)))+'Model inputs'!L14</f>
        <v>11234.5</v>
      </c>
      <c r="M12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inputs'!L12="","",'Model inputs'!L12))="",0,IF(IF(IF(ISERROR(DATE(2026,11,1)='Model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inputs'!L12="","",'Model inputs'!L12)))+'Model inputs'!M14</f>
        <v>8318.119999999999</v>
      </c>
      <c r="N12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inputs'!M12="","",'Model inputs'!M12))="",0,IF(IF(IF(ISERROR(DATE(2026,12,1)='Model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inputs'!M12="","",'Model inputs'!M12)))+'Model inputs'!N14</f>
        <v>6216.895199999999</v>
      </c>
      <c r="O12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inputs'!N12="","",'Model inputs'!N12))="",0,IF(IF(IF(ISERROR(DATE(2027,1,1)='Model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inputs'!N12="","",'Model inputs'!N12)))+'Model inputs'!O14</f>
        <v>4898.219391999998</v>
      </c>
      <c r="P12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inputs'!O12="","",'Model inputs'!O12))="",0,IF(IF(IF(ISERROR(DATE(2027,2,1)='Model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inputs'!O12="","",'Model inputs'!O12)))+'Model inputs'!P14</f>
        <v>4330.790616319997</v>
      </c>
      <c r="Q12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inputs'!P12="","",'Model inputs'!P12))="",0,IF(IF(IF(ISERROR(DATE(2027,3,1)='Model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inputs'!P12="","",'Model inputs'!P12)))+'Model inputs'!Q14</f>
        <v>4484.558991667196</v>
      </c>
      <c r="R12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inputs'!Q12="","",'Model inputs'!Q12))="",0,IF(IF(IF(ISERROR(DATE(2027,4,1)='Model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inputs'!Q12="","",'Model inputs'!Q12)))+'Model inputs'!R14</f>
        <v>5330.676632000507</v>
      </c>
      <c r="S12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inputs'!R12="","",'Model inputs'!R12))="",0,IF(IF(IF(ISERROR(DATE(2027,5,1)='Model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inputs'!R12="","",'Model inputs'!R12)))+'Model inputs'!S14</f>
        <v>6841.4495667204865</v>
      </c>
      <c r="T12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inputs'!S12="","",'Model inputs'!S12))="",0,IF(IF(IF(ISERROR(DATE(2027,6,1)='Model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inputs'!S12="","",'Model inputs'!S12)))+'Model inputs'!T14</f>
        <v>8990.291584051665</v>
      </c>
      <c r="U12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inputs'!T12="","",'Model inputs'!T12))="",0,IF(IF(IF(ISERROR(DATE(2027,7,1)='Model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inputs'!T12="","",'Model inputs'!T12)))+'Model inputs'!U14</f>
        <v>11751.679920689596</v>
      </c>
      <c r="V12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inputs'!U12="","",'Model inputs'!U12))="",0,IF(IF(IF(ISERROR(DATE(2027,8,1)='Model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inputs'!U12="","",'Model inputs'!U12)))+'Model inputs'!V14</f>
        <v>15101.11272386201</v>
      </c>
      <c r="W12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inputs'!V12="","",'Model inputs'!V12))="",0,IF(IF(IF(ISERROR(DATE(2027,9,1)='Model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inputs'!V12="","",'Model inputs'!V12)))+'Model inputs'!W14</f>
        <v>19015.06821490753</v>
      </c>
      <c r="X12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inputs'!W12="","",'Model inputs'!W12))="",0,IF(IF(IF(ISERROR(DATE(2027,10,1)='Model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inputs'!W12="","",'Model inputs'!W12)))+'Model inputs'!X14</f>
        <v>23470.965486311226</v>
      </c>
      <c r="Y12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inputs'!X12="","",'Model inputs'!X12))="",0,IF(IF(IF(ISERROR(DATE(2027,11,1)='Model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inputs'!X12="","",'Model inputs'!X12)))+'Model inputs'!Y14</f>
        <v>28447.126866858773</v>
      </c>
      <c r="Z12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inputs'!Y12="","",'Model inputs'!Y12))="",0,IF(IF(IF(ISERROR(DATE(2027,12,1)='Model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inputs'!Y12="","",'Model inputs'!Y12)))+'Model inputs'!Z14</f>
        <v>33922.74179218442</v>
      </c>
      <c r="AA12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inputs'!Z12="","",'Model inputs'!Z12))="",0,IF(IF(IF(ISERROR(DATE(2028,1,1)='Model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inputs'!Z12="","",'Model inputs'!Z12)))+'Model inputs'!AA14</f>
        <v>39877.83212049704</v>
      </c>
      <c r="AB12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inputs'!AA12="","",'Model inputs'!AA12))="",0,IF(IF(IF(ISERROR(DATE(2028,2,1)='Model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inputs'!AA12="","",'Model inputs'!AA12)))+'Model inputs'!AB14</f>
        <v>46293.21883567715</v>
      </c>
      <c r="AC12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inputs'!AB12="","",'Model inputs'!AB12))="",0,IF(IF(IF(ISERROR(DATE(2028,3,1)='Model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inputs'!AB12="","",'Model inputs'!AB12)))+'Model inputs'!AC14</f>
        <v>53150.490082250064</v>
      </c>
    </row>
    <row r="13">
      <c r="A13" t="inlineStr" s="20">
        <is>
          <t xml:space="preserve">NW BYOK-test gross profit · Low-price monthly forecast</t>
        </is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f>'Model inputs'!L77*'Model inputs'!B10</f>
        <v>884.4999999999999</v>
      </c>
      <c r="M13" s="11">
        <f>'Model inputs'!M77*'Model inputs'!B10</f>
        <v>1733.62</v>
      </c>
      <c r="N13" s="11">
        <f>'Model inputs'!N77*'Model inputs'!B10</f>
        <v>2548.7752</v>
      </c>
      <c r="O13" s="11">
        <f>'Model inputs'!O77*'Model inputs'!B10</f>
        <v>3331.324191999999</v>
      </c>
      <c r="P13" s="11">
        <f>'Model inputs'!P77*'Model inputs'!B10</f>
        <v>4082.571224319999</v>
      </c>
      <c r="Q13" s="11">
        <f>'Model inputs'!Q77*'Model inputs'!B10</f>
        <v>4803.768375347199</v>
      </c>
      <c r="R13" s="11">
        <f>'Model inputs'!R77*'Model inputs'!B10</f>
        <v>5496.117640333311</v>
      </c>
      <c r="S13" s="11">
        <f>'Model inputs'!S77*'Model inputs'!B10</f>
        <v>6160.772934719979</v>
      </c>
      <c r="T13" s="11">
        <f>'Model inputs'!T77*'Model inputs'!B10</f>
        <v>6798.84201733118</v>
      </c>
      <c r="U13" s="11">
        <f>'Model inputs'!U77*'Model inputs'!B10</f>
        <v>7411.388336637931</v>
      </c>
      <c r="V13" s="11">
        <f>'Model inputs'!V77*'Model inputs'!B10</f>
        <v>7999.432803172414</v>
      </c>
      <c r="W13" s="11">
        <f>'Model inputs'!W77*'Model inputs'!B10</f>
        <v>8563.955491045517</v>
      </c>
      <c r="X13" s="11">
        <f>'Model inputs'!X77*'Model inputs'!B10</f>
        <v>9105.897271403697</v>
      </c>
      <c r="Y13" s="11">
        <f>'Model inputs'!Y77*'Model inputs'!B10</f>
        <v>9626.161380547548</v>
      </c>
      <c r="Z13" s="11">
        <f>'Model inputs'!Z77*'Model inputs'!B10</f>
        <v>10125.614925325646</v>
      </c>
      <c r="AA13" s="11">
        <f>'Model inputs'!AA77*'Model inputs'!B10</f>
        <v>10605.09032831262</v>
      </c>
      <c r="AB13" s="11">
        <f>'Model inputs'!AB77*'Model inputs'!B10</f>
        <v>11065.386715180113</v>
      </c>
      <c r="AC13" s="11">
        <f>'Model inputs'!AC77*'Model inputs'!B10</f>
        <v>11507.27124657291</v>
      </c>
    </row>
    <row r="14">
      <c r="A14" t="inlineStr" s="20">
        <is>
          <t xml:space="preserve">NW BYOK-test operating profit · Low-price monthly forecast</t>
        </is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f>'Model inputs'!L13-'Model inputs'!L31-'Model inputs'!L7</f>
        <v>-3765.5</v>
      </c>
      <c r="M14" s="11">
        <f>'Model inputs'!M13-'Model inputs'!M31-'Model inputs'!M7</f>
        <v>-2916.38</v>
      </c>
      <c r="N14" s="11">
        <f>'Model inputs'!N13-'Model inputs'!N31-'Model inputs'!N7</f>
        <v>-2101.2248</v>
      </c>
      <c r="O14" s="11">
        <f>'Model inputs'!O13-'Model inputs'!O31-'Model inputs'!O7</f>
        <v>-1318.6758080000009</v>
      </c>
      <c r="P14" s="11">
        <f>'Model inputs'!P13-'Model inputs'!P31-'Model inputs'!P7</f>
        <v>-567.4287756800009</v>
      </c>
      <c r="Q14" s="11">
        <f>'Model inputs'!Q13-'Model inputs'!Q31-'Model inputs'!Q7</f>
        <v>153.76837534719925</v>
      </c>
      <c r="R14" s="11">
        <f>'Model inputs'!R13-'Model inputs'!R31-'Model inputs'!R7</f>
        <v>846.1176403333111</v>
      </c>
      <c r="S14" s="11">
        <f>'Model inputs'!S13-'Model inputs'!S31-'Model inputs'!S7</f>
        <v>1510.7729347199793</v>
      </c>
      <c r="T14" s="11">
        <f>'Model inputs'!T13-'Model inputs'!T31-'Model inputs'!T7</f>
        <v>2148.8420173311797</v>
      </c>
      <c r="U14" s="11">
        <f>'Model inputs'!U13-'Model inputs'!U31-'Model inputs'!U7</f>
        <v>2761.3883366379314</v>
      </c>
      <c r="V14" s="11">
        <f>'Model inputs'!V13-'Model inputs'!V31-'Model inputs'!V7</f>
        <v>3349.4328031724144</v>
      </c>
      <c r="W14" s="11">
        <f>'Model inputs'!W13-'Model inputs'!W31-'Model inputs'!W7</f>
        <v>3913.955491045517</v>
      </c>
      <c r="X14" s="11">
        <f>'Model inputs'!X13-'Model inputs'!X31-'Model inputs'!X7</f>
        <v>4455.897271403697</v>
      </c>
      <c r="Y14" s="11">
        <f>'Model inputs'!Y13-'Model inputs'!Y31-'Model inputs'!Y7</f>
        <v>4976.161380547548</v>
      </c>
      <c r="Z14" s="11">
        <f>'Model inputs'!Z13-'Model inputs'!Z31-'Model inputs'!Z7</f>
        <v>5475.614925325646</v>
      </c>
      <c r="AA14" s="11">
        <f>'Model inputs'!AA13-'Model inputs'!AA31-'Model inputs'!AA7</f>
        <v>5955.090328312621</v>
      </c>
      <c r="AB14" s="11">
        <f>'Model inputs'!AB13-'Model inputs'!AB31-'Model inputs'!AB7</f>
        <v>6415.386715180113</v>
      </c>
      <c r="AC14" s="11">
        <f>'Model inputs'!AC13-'Model inputs'!AC31-'Model inputs'!AC7</f>
        <v>6857.271246572909</v>
      </c>
    </row>
    <row r="15">
      <c r="A15" t="inlineStr" s="20">
        <is>
          <t xml:space="preserve">NW Cash balance · Low-price monthly forecast</t>
        </is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inputs'!K15="","",'Model inputs'!K15)))+'Model inputs'!L71</f>
        <v>11164.9</v>
      </c>
      <c r="M15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inputs'!L15="","",'Model inputs'!L15))="",0,IF(IF(IF(ISERROR(DATE(2026,11,1)='Model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inputs'!L15="","",'Model inputs'!L15)))+'Model inputs'!M71</f>
        <v>8112.103999999999</v>
      </c>
      <c r="N15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inputs'!M15="","",'Model inputs'!M15))="",0,IF(IF(IF(ISERROR(DATE(2026,12,1)='Model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inputs'!M15="","",'Model inputs'!M15)))+'Model inputs'!N71</f>
        <v>5810.319839999999</v>
      </c>
      <c r="O15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inputs'!N15="","",'Model inputs'!N15))="",0,IF(IF(IF(ISERROR(DATE(2027,1,1)='Model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inputs'!N15="","",'Model inputs'!N15)))+'Model inputs'!O71</f>
        <v>4229.507046399999</v>
      </c>
      <c r="P15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inputs'!O15="","",'Model inputs'!O15))="",0,IF(IF(IF(ISERROR(DATE(2027,2,1)='Model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inputs'!O15="","",'Model inputs'!O15)))+'Model inputs'!P71</f>
        <v>3340.826764543999</v>
      </c>
      <c r="Q15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inputs'!P15="","",'Model inputs'!P15))="",0,IF(IF(IF(ISERROR(DATE(2027,3,1)='Model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inputs'!P15="","",'Model inputs'!P15)))+'Model inputs'!Q71</f>
        <v>3116.593693962239</v>
      </c>
      <c r="R15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inputs'!Q15="","",'Model inputs'!Q15))="",0,IF(IF(IF(ISERROR(DATE(2027,4,1)='Model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inputs'!Q15="","",'Model inputs'!Q15)))+'Model inputs'!R71</f>
        <v>3530.229946203749</v>
      </c>
      <c r="S15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inputs'!R15="","",'Model inputs'!R15))="",0,IF(IF(IF(ISERROR(DATE(2027,5,1)='Model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inputs'!R15="","",'Model inputs'!R15)))+'Model inputs'!S71</f>
        <v>4556.2207483555985</v>
      </c>
      <c r="T15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inputs'!S15="","",'Model inputs'!S15))="",0,IF(IF(IF(ISERROR(DATE(2027,6,1)='Model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inputs'!S15="","",'Model inputs'!S15)))+'Model inputs'!T71</f>
        <v>6170.071918421375</v>
      </c>
      <c r="U15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inputs'!T15="","",'Model inputs'!T15))="",0,IF(IF(IF(ISERROR(DATE(2027,7,1)='Model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inputs'!T15="","",'Model inputs'!T15)))+'Model inputs'!U71</f>
        <v>8348.269041684518</v>
      </c>
      <c r="V15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inputs'!U15="","",'Model inputs'!U15))="",0,IF(IF(IF(ISERROR(DATE(2027,8,1)='Model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inputs'!U15="","",'Model inputs'!U15)))+'Model inputs'!V71</f>
        <v>11068.238280017136</v>
      </c>
      <c r="W15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inputs'!V15="","",'Model inputs'!V15))="",0,IF(IF(IF(ISERROR(DATE(2027,9,1)='Model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inputs'!V15="","",'Model inputs'!V15)))+'Model inputs'!W71</f>
        <v>14308.30874881645</v>
      </c>
      <c r="X15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inputs'!W15="","",'Model inputs'!W15))="",0,IF(IF(IF(ISERROR(DATE(2027,10,1)='Model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inputs'!W15="","",'Model inputs'!W15)))+'Model inputs'!X71</f>
        <v>18047.67639886379</v>
      </c>
      <c r="Y15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inputs'!X15="","",'Model inputs'!X15))="",0,IF(IF(IF(ISERROR(DATE(2027,11,1)='Model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inputs'!X15="","",'Model inputs'!X15)))+'Model inputs'!Y71</f>
        <v>22266.36934290924</v>
      </c>
      <c r="Z15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inputs'!Y15="","",'Model inputs'!Y15))="",0,IF(IF(IF(ISERROR(DATE(2027,12,1)='Model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inputs'!Y15="","",'Model inputs'!Y15)))+'Model inputs'!Z71</f>
        <v>26945.214569192867</v>
      </c>
      <c r="AA15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inputs'!Z15="","",'Model inputs'!Z15))="",0,IF(IF(IF(ISERROR(DATE(2028,1,1)='Model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inputs'!Z15="","",'Model inputs'!Z15)))+'Model inputs'!AA71</f>
        <v>32065.805986425148</v>
      </c>
      <c r="AB15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inputs'!AA15="","",'Model inputs'!AA15))="",0,IF(IF(IF(ISERROR(DATE(2028,2,1)='Model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inputs'!AA15="","",'Model inputs'!AA15)))+'Model inputs'!AB71</f>
        <v>37610.47374696814</v>
      </c>
      <c r="AC15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inputs'!AB15="","",'Model inputs'!AB15))="",0,IF(IF(IF(ISERROR(DATE(2028,3,1)='Model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inputs'!AB15="","",'Model inputs'!AB15)))+'Model inputs'!AC71</f>
        <v>43562.254797089416</v>
      </c>
    </row>
    <row r="16">
      <c r="A16" t="inlineStr" s="20">
        <is>
          <t xml:space="preserve">NW Cost per customer</t>
        </is>
      </c>
      <c r="B16" s="10">
        <f>'Model inputs'!B54+'Model inputs'!B49+'Model inputs'!B98+'Model inputs'!B26</f>
        <v>0</v>
      </c>
    </row>
    <row r="17" outlineLevel="1">
      <c r="A17" t="inlineStr" s="21">
        <is>
          <t xml:space="preserve">NW Cost per customer &gt; Business</t>
        </is>
      </c>
      <c r="B17" s="11">
        <f>'Model inputs'!B55+'Model inputs'!B50+'Model inputs'!B99+'Model inputs'!B27</f>
        <v>36.400000000000006</v>
      </c>
    </row>
    <row r="18" outlineLevel="1">
      <c r="A18" t="inlineStr" s="21">
        <is>
          <t xml:space="preserve">NW Cost per customer &gt; Community</t>
        </is>
      </c>
      <c r="B18" s="11">
        <f>'Model inputs'!B56+'Model inputs'!B51+'Model inputs'!B100+'Model inputs'!B28</f>
        <v>0</v>
      </c>
    </row>
    <row r="19" outlineLevel="1">
      <c r="A19" t="inlineStr" s="21">
        <is>
          <t xml:space="preserve">NW Cost per customer &gt; Starter</t>
        </is>
      </c>
      <c r="B19" s="11">
        <f>'Model inputs'!B57+'Model inputs'!B52+'Model inputs'!B101+'Model inputs'!B29</f>
        <v>2.0500000000000003</v>
      </c>
    </row>
    <row r="20" outlineLevel="1">
      <c r="A20" t="inlineStr" s="21">
        <is>
          <t xml:space="preserve">NW Cost per customer &gt; Team</t>
        </is>
      </c>
      <c r="B20" s="11">
        <f>'Model inputs'!B58+'Model inputs'!B53+'Model inputs'!B102+'Model inputs'!B30</f>
        <v>10.6</v>
      </c>
    </row>
    <row r="21">
      <c r="A21" t="inlineStr" s="20">
        <is>
          <t xml:space="preserve">NW Customer mix</t>
        </is>
      </c>
      <c r="B21" s="22">
        <v>0</v>
      </c>
    </row>
    <row r="22" outlineLevel="1">
      <c r="A22" t="inlineStr" s="21">
        <is>
          <t xml:space="preserve">NW Customer mix &gt; Business</t>
        </is>
      </c>
      <c r="B22" s="23">
        <f>0.1</f>
        <v>0.1</v>
      </c>
    </row>
    <row r="23" outlineLevel="1">
      <c r="A23" t="inlineStr" s="21">
        <is>
          <t xml:space="preserve">NW Customer mix &gt; Community</t>
        </is>
      </c>
      <c r="B23" s="23">
        <f>0</f>
        <v>0</v>
      </c>
    </row>
    <row r="24" outlineLevel="1">
      <c r="A24" t="inlineStr" s="21">
        <is>
          <t xml:space="preserve">NW Customer mix &gt; Starter</t>
        </is>
      </c>
      <c r="B24" s="23">
        <f>0.55</f>
        <v>0.55</v>
      </c>
    </row>
    <row r="25" outlineLevel="1">
      <c r="A25" t="inlineStr" s="21">
        <is>
          <t xml:space="preserve">NW Customer mix &gt; Team</t>
        </is>
      </c>
      <c r="B25" s="23">
        <f>0.35</f>
        <v>0.35</v>
      </c>
    </row>
    <row r="26">
      <c r="A26" t="inlineStr" s="20">
        <is>
          <t xml:space="preserve">NW Fees per customer</t>
        </is>
      </c>
      <c r="B26" s="10">
        <f>'Model inputs'!B85*'Model inputs'!B197</f>
        <v>0</v>
      </c>
    </row>
    <row r="27" outlineLevel="1">
      <c r="A27" t="inlineStr" s="21">
        <is>
          <t xml:space="preserve">NW Fees per customer &gt; Business</t>
        </is>
      </c>
      <c r="B27" s="11">
        <f>'Model inputs'!B86*'Model inputs'!B197</f>
        <v>7.800000000000001</v>
      </c>
    </row>
    <row r="28" outlineLevel="1">
      <c r="A28" t="inlineStr" s="21">
        <is>
          <t xml:space="preserve">NW Fees per customer &gt; Community</t>
        </is>
      </c>
      <c r="B28" s="11">
        <f>'Model inputs'!B87*'Model inputs'!B197</f>
        <v>0</v>
      </c>
    </row>
    <row r="29" outlineLevel="1">
      <c r="A29" t="inlineStr" s="21">
        <is>
          <t xml:space="preserve">NW Fees per customer &gt; Starter</t>
        </is>
      </c>
      <c r="B29" s="11">
        <f>'Model inputs'!B88*'Model inputs'!B197</f>
        <v>0.25</v>
      </c>
    </row>
    <row r="30" outlineLevel="1">
      <c r="A30" t="inlineStr" s="21">
        <is>
          <t xml:space="preserve">NW Fees per customer &gt; Team</t>
        </is>
      </c>
      <c r="B30" s="11">
        <f>'Model inputs'!B89*'Model inputs'!B197</f>
        <v>1.5</v>
      </c>
    </row>
    <row r="31">
      <c r="A31" t="inlineStr" s="20">
        <is>
          <t xml:space="preserve">NW Fixed expenses · Low-price monthly forecast</t>
        </is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f>IF('Model inputs'!B32="","",'Model inputs'!B32)</f>
        <v>4050</v>
      </c>
      <c r="M31" s="11">
        <f>IF('Model inputs'!B32="","",'Model inputs'!B32)</f>
        <v>4050</v>
      </c>
      <c r="N31" s="11">
        <f>IF('Model inputs'!B32="","",'Model inputs'!B32)</f>
        <v>4050</v>
      </c>
      <c r="O31" s="11">
        <f>IF('Model inputs'!B32="","",'Model inputs'!B32)</f>
        <v>4050</v>
      </c>
      <c r="P31" s="11">
        <f>IF('Model inputs'!B32="","",'Model inputs'!B32)</f>
        <v>4050</v>
      </c>
      <c r="Q31" s="11">
        <f>IF('Model inputs'!B32="","",'Model inputs'!B32)</f>
        <v>4050</v>
      </c>
      <c r="R31" s="11">
        <f>IF('Model inputs'!B32="","",'Model inputs'!B32)</f>
        <v>4050</v>
      </c>
      <c r="S31" s="11">
        <f>IF('Model inputs'!B32="","",'Model inputs'!B32)</f>
        <v>4050</v>
      </c>
      <c r="T31" s="11">
        <f>IF('Model inputs'!B32="","",'Model inputs'!B32)</f>
        <v>4050</v>
      </c>
      <c r="U31" s="11">
        <f>IF('Model inputs'!B32="","",'Model inputs'!B32)</f>
        <v>4050</v>
      </c>
      <c r="V31" s="11">
        <f>IF('Model inputs'!B32="","",'Model inputs'!B32)</f>
        <v>4050</v>
      </c>
      <c r="W31" s="11">
        <f>IF('Model inputs'!B32="","",'Model inputs'!B32)</f>
        <v>4050</v>
      </c>
      <c r="X31" s="11">
        <f>IF('Model inputs'!B32="","",'Model inputs'!B32)</f>
        <v>4050</v>
      </c>
      <c r="Y31" s="11">
        <f>IF('Model inputs'!B32="","",'Model inputs'!B32)</f>
        <v>4050</v>
      </c>
      <c r="Z31" s="11">
        <f>IF('Model inputs'!B32="","",'Model inputs'!B32)</f>
        <v>4050</v>
      </c>
      <c r="AA31" s="11">
        <f>IF('Model inputs'!B32="","",'Model inputs'!B32)</f>
        <v>4050</v>
      </c>
      <c r="AB31" s="11">
        <f>IF('Model inputs'!B32="","",'Model inputs'!B32)</f>
        <v>4050</v>
      </c>
      <c r="AC31" s="11">
        <f>IF('Model inputs'!B32="","",'Model inputs'!B32)</f>
        <v>4050</v>
      </c>
    </row>
    <row r="32">
      <c r="A32" t="inlineStr" s="20">
        <is>
          <t xml:space="preserve">NW Fixed operating costs · Low-price monthly forecast</t>
        </is>
      </c>
      <c r="B32" s="11">
        <f>'Model inputs'!B177+'Model inputs'!B164+'Model inputs'!B203+'Model inputs'!B165+'Model inputs'!B193+'Model inputs'!B195+'Model inputs'!B204</f>
        <v>4050</v>
      </c>
    </row>
    <row r="33">
      <c r="A33" t="inlineStr" s="20">
        <is>
          <t xml:space="preserve">NW Forecast start · Low-price monthly forecast</t>
        </is>
      </c>
      <c r="B33" s="17">
        <f>DATE(2026,10,1)</f>
        <v>46296</v>
      </c>
    </row>
    <row r="34">
      <c r="A34" t="inlineStr" s="20">
        <is>
          <t xml:space="preserve">NW Gross profit</t>
        </is>
      </c>
      <c r="J34" s="10">
        <f>SUM('Model inputs'!J35,'Model inputs'!J36,'Model inputs'!J37,'Model inputs'!J38)</f>
        <v>0</v>
      </c>
      <c r="K34" s="10">
        <f>SUM('Model inputs'!K35,'Model inputs'!K36,'Model inputs'!K37,'Model inputs'!K38)</f>
        <v>0</v>
      </c>
      <c r="L34" s="10">
        <f>SUM('Model inputs'!L35,'Model inputs'!L36,'Model inputs'!L37,'Model inputs'!L38)</f>
        <v>814.8999999999999</v>
      </c>
      <c r="M34" s="10">
        <f>SUM('Model inputs'!M35,'Model inputs'!M36,'Model inputs'!M37,'Model inputs'!M38)</f>
        <v>1597.204</v>
      </c>
      <c r="N34" s="10">
        <f>SUM('Model inputs'!N35,'Model inputs'!N36,'Model inputs'!N37,'Model inputs'!N38)</f>
        <v>2348.21584</v>
      </c>
      <c r="O34" s="10">
        <f>SUM('Model inputs'!O35,'Model inputs'!O36,'Model inputs'!O37,'Model inputs'!O38)</f>
        <v>3069.1872064</v>
      </c>
      <c r="P34" s="10">
        <f>SUM('Model inputs'!P35,'Model inputs'!P36,'Model inputs'!P37,'Model inputs'!P38)</f>
        <v>3761.319718144</v>
      </c>
      <c r="Q34" s="10">
        <f>SUM('Model inputs'!Q35,'Model inputs'!Q36,'Model inputs'!Q37,'Model inputs'!Q38)</f>
        <v>4425.76692941824</v>
      </c>
      <c r="R34" s="10">
        <f>SUM('Model inputs'!R35,'Model inputs'!R36,'Model inputs'!R37,'Model inputs'!R38)</f>
        <v>5063.63625224151</v>
      </c>
      <c r="S34" s="10">
        <f>SUM('Model inputs'!S35,'Model inputs'!S36,'Model inputs'!S37,'Model inputs'!S38)</f>
        <v>5675.9908021518495</v>
      </c>
      <c r="T34" s="10">
        <f>SUM('Model inputs'!T35,'Model inputs'!T36,'Model inputs'!T37,'Model inputs'!T38)</f>
        <v>6263.851170065776</v>
      </c>
      <c r="U34" s="10">
        <f>SUM('Model inputs'!U35,'Model inputs'!U36,'Model inputs'!U37,'Model inputs'!U38)</f>
        <v>6828.197123263144</v>
      </c>
      <c r="V34" s="10">
        <f>SUM('Model inputs'!V35,'Model inputs'!V36,'Model inputs'!V37,'Model inputs'!V38)</f>
        <v>7369.969238332618</v>
      </c>
      <c r="W34" s="10">
        <f>SUM('Model inputs'!W35,'Model inputs'!W36,'Model inputs'!W37,'Model inputs'!W38)</f>
        <v>7890.070468799313</v>
      </c>
      <c r="X34" s="10">
        <f>SUM('Model inputs'!X35,'Model inputs'!X36,'Model inputs'!X37,'Model inputs'!X38)</f>
        <v>8389.367650047341</v>
      </c>
      <c r="Y34" s="10">
        <f>SUM('Model inputs'!Y35,'Model inputs'!Y36,'Model inputs'!Y37,'Model inputs'!Y38)</f>
        <v>8868.692944045448</v>
      </c>
      <c r="Z34" s="10">
        <f>SUM('Model inputs'!Z35,'Model inputs'!Z36,'Model inputs'!Z37,'Model inputs'!Z38)</f>
        <v>9328.845226283629</v>
      </c>
      <c r="AA34" s="10">
        <f>SUM('Model inputs'!AA35,'Model inputs'!AA36,'Model inputs'!AA37,'Model inputs'!AA38)</f>
        <v>9770.591417232283</v>
      </c>
      <c r="AB34" s="10">
        <f>SUM('Model inputs'!AB35,'Model inputs'!AB36,'Model inputs'!AB37,'Model inputs'!AB38)</f>
        <v>10194.667760542992</v>
      </c>
      <c r="AC34" s="10">
        <f>SUM('Model inputs'!AC35,'Model inputs'!AC36,'Model inputs'!AC37,'Model inputs'!AC38)</f>
        <v>10601.781050121272</v>
      </c>
    </row>
    <row r="35" outlineLevel="1">
      <c r="A35" t="inlineStr" s="21">
        <is>
          <t xml:space="preserve">NW Gross profit &gt; Business</t>
        </is>
      </c>
      <c r="J35" s="11">
        <f>0</f>
        <v>0</v>
      </c>
      <c r="K35" s="11">
        <f>0</f>
        <v>0</v>
      </c>
      <c r="L35" s="11">
        <f>'Model inputs'!L78*'Model inputs'!B40</f>
        <v>478.4</v>
      </c>
      <c r="M35" s="11">
        <f>'Model inputs'!M78*'Model inputs'!B40</f>
        <v>937.664</v>
      </c>
      <c r="N35" s="11">
        <f>'Model inputs'!N78*'Model inputs'!B40</f>
        <v>1378.55744</v>
      </c>
      <c r="O35" s="11">
        <f>'Model inputs'!O78*'Model inputs'!B40</f>
        <v>1801.8151424</v>
      </c>
      <c r="P35" s="11">
        <f>'Model inputs'!P78*'Model inputs'!B40</f>
        <v>2208.142536704</v>
      </c>
      <c r="Q35" s="11">
        <f>'Model inputs'!Q78*'Model inputs'!B40</f>
        <v>2598.2168352358403</v>
      </c>
      <c r="R35" s="11">
        <f>'Model inputs'!R78*'Model inputs'!B40</f>
        <v>2972.6881618264065</v>
      </c>
      <c r="S35" s="11">
        <f>'Model inputs'!S78*'Model inputs'!B40</f>
        <v>3332.18063535335</v>
      </c>
      <c r="T35" s="11">
        <f>'Model inputs'!T78*'Model inputs'!B40</f>
        <v>3677.2934099392164</v>
      </c>
      <c r="U35" s="11">
        <f>'Model inputs'!U78*'Model inputs'!B40</f>
        <v>4008.601673541647</v>
      </c>
      <c r="V35" s="11">
        <f>'Model inputs'!V78*'Model inputs'!B40</f>
        <v>4326.657606599982</v>
      </c>
      <c r="W35" s="11">
        <f>'Model inputs'!W78*'Model inputs'!B40</f>
        <v>4631.991302335982</v>
      </c>
      <c r="X35" s="11">
        <f>'Model inputs'!X78*'Model inputs'!B40</f>
        <v>4925.111650242543</v>
      </c>
      <c r="Y35" s="11">
        <f>'Model inputs'!Y78*'Model inputs'!B40</f>
        <v>5206.507184232842</v>
      </c>
      <c r="Z35" s="11">
        <f>'Model inputs'!Z78*'Model inputs'!B40</f>
        <v>5476.646896863527</v>
      </c>
      <c r="AA35" s="11">
        <f>'Model inputs'!AA78*'Model inputs'!B40</f>
        <v>5735.981020988986</v>
      </c>
      <c r="AB35" s="11">
        <f>'Model inputs'!AB78*'Model inputs'!B40</f>
        <v>5984.941780149426</v>
      </c>
      <c r="AC35" s="11">
        <f>'Model inputs'!AC78*'Model inputs'!B40</f>
        <v>6223.944108943449</v>
      </c>
    </row>
    <row r="36" outlineLevel="1">
      <c r="A36" t="inlineStr" s="21">
        <is>
          <t xml:space="preserve">NW Gross profit &gt; Community</t>
        </is>
      </c>
      <c r="J36" s="11">
        <f>0</f>
        <v>0</v>
      </c>
      <c r="K36" s="11">
        <f>0</f>
        <v>0</v>
      </c>
      <c r="L36" s="11">
        <f>'Model inputs'!L79*'Model inputs'!B41</f>
        <v>0</v>
      </c>
      <c r="M36" s="11">
        <f>'Model inputs'!M79*'Model inputs'!B41</f>
        <v>0</v>
      </c>
      <c r="N36" s="11">
        <f>'Model inputs'!N79*'Model inputs'!B41</f>
        <v>0</v>
      </c>
      <c r="O36" s="11">
        <f>'Model inputs'!O79*'Model inputs'!B41</f>
        <v>0</v>
      </c>
      <c r="P36" s="11">
        <f>'Model inputs'!P79*'Model inputs'!B41</f>
        <v>0</v>
      </c>
      <c r="Q36" s="11">
        <f>'Model inputs'!Q79*'Model inputs'!B41</f>
        <v>0</v>
      </c>
      <c r="R36" s="11">
        <f>'Model inputs'!R79*'Model inputs'!B41</f>
        <v>0</v>
      </c>
      <c r="S36" s="11">
        <f>'Model inputs'!S79*'Model inputs'!B41</f>
        <v>0</v>
      </c>
      <c r="T36" s="11">
        <f>'Model inputs'!T79*'Model inputs'!B41</f>
        <v>0</v>
      </c>
      <c r="U36" s="11">
        <f>'Model inputs'!U79*'Model inputs'!B41</f>
        <v>0</v>
      </c>
      <c r="V36" s="11">
        <f>'Model inputs'!V79*'Model inputs'!B41</f>
        <v>0</v>
      </c>
      <c r="W36" s="11">
        <f>'Model inputs'!W79*'Model inputs'!B41</f>
        <v>0</v>
      </c>
      <c r="X36" s="11">
        <f>'Model inputs'!X79*'Model inputs'!B41</f>
        <v>0</v>
      </c>
      <c r="Y36" s="11">
        <f>'Model inputs'!Y79*'Model inputs'!B41</f>
        <v>0</v>
      </c>
      <c r="Z36" s="11">
        <f>'Model inputs'!Z79*'Model inputs'!B41</f>
        <v>0</v>
      </c>
      <c r="AA36" s="11">
        <f>'Model inputs'!AA79*'Model inputs'!B41</f>
        <v>0</v>
      </c>
      <c r="AB36" s="11">
        <f>'Model inputs'!AB79*'Model inputs'!B41</f>
        <v>0</v>
      </c>
      <c r="AC36" s="11">
        <f>'Model inputs'!AC79*'Model inputs'!B41</f>
        <v>0</v>
      </c>
    </row>
    <row r="37" outlineLevel="1">
      <c r="A37" t="inlineStr" s="21">
        <is>
          <t xml:space="preserve">NW Gross profit &gt; Starter</t>
        </is>
      </c>
      <c r="J37" s="11">
        <f>0</f>
        <v>0</v>
      </c>
      <c r="K37" s="11">
        <f>0</f>
        <v>0</v>
      </c>
      <c r="L37" s="11">
        <f>'Model inputs'!L80*'Model inputs'!B42</f>
        <v>64.89999999999999</v>
      </c>
      <c r="M37" s="11">
        <f>'Model inputs'!M80*'Model inputs'!B42</f>
        <v>127.20399999999998</v>
      </c>
      <c r="N37" s="11">
        <f>'Model inputs'!N80*'Model inputs'!B42</f>
        <v>187.01584</v>
      </c>
      <c r="O37" s="11">
        <f>'Model inputs'!O80*'Model inputs'!B42</f>
        <v>244.43520639999997</v>
      </c>
      <c r="P37" s="11">
        <f>'Model inputs'!P80*'Model inputs'!B42</f>
        <v>299.557798144</v>
      </c>
      <c r="Q37" s="11">
        <f>'Model inputs'!Q80*'Model inputs'!B42</f>
        <v>352.47548621823995</v>
      </c>
      <c r="R37" s="11">
        <f>'Model inputs'!R80*'Model inputs'!B42</f>
        <v>403.27646676951036</v>
      </c>
      <c r="S37" s="11">
        <f>'Model inputs'!S80*'Model inputs'!B42</f>
        <v>452.04540809873</v>
      </c>
      <c r="T37" s="11">
        <f>'Model inputs'!T80*'Model inputs'!B42</f>
        <v>498.86359177478073</v>
      </c>
      <c r="U37" s="11">
        <f>'Model inputs'!U80*'Model inputs'!B42</f>
        <v>543.8090481037895</v>
      </c>
      <c r="V37" s="11">
        <f>'Model inputs'!V80*'Model inputs'!B42</f>
        <v>586.9566861796379</v>
      </c>
      <c r="W37" s="11">
        <f>'Model inputs'!W80*'Model inputs'!B42</f>
        <v>628.3784187324524</v>
      </c>
      <c r="X37" s="11">
        <f>'Model inputs'!X80*'Model inputs'!B42</f>
        <v>668.1432819831542</v>
      </c>
      <c r="Y37" s="11">
        <f>'Model inputs'!Y80*'Model inputs'!B42</f>
        <v>706.317550703828</v>
      </c>
      <c r="Z37" s="11">
        <f>'Model inputs'!Z80*'Model inputs'!B42</f>
        <v>742.964848675675</v>
      </c>
      <c r="AA37" s="11">
        <f>'Model inputs'!AA80*'Model inputs'!B42</f>
        <v>778.1462547286479</v>
      </c>
      <c r="AB37" s="11">
        <f>'Model inputs'!AB80*'Model inputs'!B42</f>
        <v>811.9204045395019</v>
      </c>
      <c r="AC37" s="11">
        <f>'Model inputs'!AC80*'Model inputs'!B42</f>
        <v>844.3435883579219</v>
      </c>
    </row>
    <row r="38" outlineLevel="1">
      <c r="A38" t="inlineStr" s="21">
        <is>
          <t xml:space="preserve">NW Gross profit &gt; Team</t>
        </is>
      </c>
      <c r="J38" s="11">
        <f>0</f>
        <v>0</v>
      </c>
      <c r="K38" s="11">
        <f>0</f>
        <v>0</v>
      </c>
      <c r="L38" s="11">
        <f>'Model inputs'!L81*'Model inputs'!B43</f>
        <v>271.59999999999997</v>
      </c>
      <c r="M38" s="11">
        <f>'Model inputs'!M81*'Model inputs'!B43</f>
        <v>532.336</v>
      </c>
      <c r="N38" s="11">
        <f>'Model inputs'!N81*'Model inputs'!B43</f>
        <v>782.6425599999999</v>
      </c>
      <c r="O38" s="11">
        <f>'Model inputs'!O81*'Model inputs'!B43</f>
        <v>1022.9368575999999</v>
      </c>
      <c r="P38" s="11">
        <f>'Model inputs'!P81*'Model inputs'!B43</f>
        <v>1253.6193832959998</v>
      </c>
      <c r="Q38" s="11">
        <f>'Model inputs'!Q81*'Model inputs'!B43</f>
        <v>1475.07460796416</v>
      </c>
      <c r="R38" s="11">
        <f>'Model inputs'!R81*'Model inputs'!B43</f>
        <v>1687.6716236455934</v>
      </c>
      <c r="S38" s="11">
        <f>'Model inputs'!S81*'Model inputs'!B43</f>
        <v>1891.7647586997696</v>
      </c>
      <c r="T38" s="11">
        <f>'Model inputs'!T81*'Model inputs'!B43</f>
        <v>2087.694168351779</v>
      </c>
      <c r="U38" s="11">
        <f>'Model inputs'!U81*'Model inputs'!B43</f>
        <v>2275.7864016177077</v>
      </c>
      <c r="V38" s="11">
        <f>'Model inputs'!V81*'Model inputs'!B43</f>
        <v>2456.354945552999</v>
      </c>
      <c r="W38" s="11">
        <f>'Model inputs'!W81*'Model inputs'!B43</f>
        <v>2629.700747730879</v>
      </c>
      <c r="X38" s="11">
        <f>'Model inputs'!X81*'Model inputs'!B43</f>
        <v>2796.112717821644</v>
      </c>
      <c r="Y38" s="11">
        <f>'Model inputs'!Y81*'Model inputs'!B43</f>
        <v>2955.868209108778</v>
      </c>
      <c r="Z38" s="11">
        <f>'Model inputs'!Z81*'Model inputs'!B43</f>
        <v>3109.2334807444267</v>
      </c>
      <c r="AA38" s="11">
        <f>'Model inputs'!AA81*'Model inputs'!B43</f>
        <v>3256.46414151465</v>
      </c>
      <c r="AB38" s="11">
        <f>'Model inputs'!AB81*'Model inputs'!B43</f>
        <v>3397.8055758540636</v>
      </c>
      <c r="AC38" s="11">
        <f>'Model inputs'!AC81*'Model inputs'!B43</f>
        <v>3533.4933528199012</v>
      </c>
    </row>
    <row r="39">
      <c r="A39" t="inlineStr" s="20">
        <is>
          <t xml:space="preserve">NW Gross profit per customer</t>
        </is>
      </c>
      <c r="B39" s="10">
        <f>'Model inputs'!B85-'Model inputs'!B16</f>
        <v>0</v>
      </c>
    </row>
    <row r="40" outlineLevel="1">
      <c r="A40" t="inlineStr" s="21">
        <is>
          <t xml:space="preserve">NW Gross profit per customer &gt; Business</t>
        </is>
      </c>
      <c r="B40" s="11">
        <f>'Model inputs'!B86-'Model inputs'!B17</f>
        <v>119.6</v>
      </c>
    </row>
    <row r="41" outlineLevel="1">
      <c r="A41" t="inlineStr" s="21">
        <is>
          <t xml:space="preserve">NW Gross profit per customer &gt; Community</t>
        </is>
      </c>
      <c r="B41" s="11">
        <f>'Model inputs'!B87-'Model inputs'!B18</f>
        <v>0</v>
      </c>
    </row>
    <row r="42" outlineLevel="1">
      <c r="A42" t="inlineStr" s="21">
        <is>
          <t xml:space="preserve">NW Gross profit per customer &gt; Starter</t>
        </is>
      </c>
      <c r="B42" s="11">
        <f>'Model inputs'!B88-'Model inputs'!B19</f>
        <v>2.9499999999999997</v>
      </c>
    </row>
    <row r="43" outlineLevel="1">
      <c r="A43" t="inlineStr" s="21">
        <is>
          <t xml:space="preserve">NW Gross profit per customer &gt; Team</t>
        </is>
      </c>
      <c r="B43" s="11">
        <f>'Model inputs'!B89-'Model inputs'!B20</f>
        <v>19.4</v>
      </c>
    </row>
    <row r="44">
      <c r="A44" t="inlineStr" s="20">
        <is>
          <t xml:space="preserve">NW Higher-price blended gross profit · Low-price monthly forecast</t>
        </is>
      </c>
      <c r="B44" s="11">
        <f>'Model inputs'!B181*'Model inputs'!B24+'Model inputs'!B182*'Model inputs'!B25+'Model inputs'!B179*'Model inputs'!B22</f>
        <v>23.0325</v>
      </c>
    </row>
    <row r="45">
      <c r="A45" t="inlineStr" s="20">
        <is>
          <t xml:space="preserve">NW Higher-price blended revenue</t>
        </is>
      </c>
      <c r="B45" s="11">
        <f>'Model inputs'!B186*'Model inputs'!B24+'Model inputs'!B187*'Model inputs'!B25+'Model inputs'!B184*'Model inputs'!B22</f>
        <v>31.65</v>
      </c>
    </row>
    <row r="46">
      <c r="A46" t="inlineStr" s="20">
        <is>
          <t xml:space="preserve">NW Higher-price cash balance · Low-price monthly forecast</t>
        </is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inputs'!K46="","",'Model inputs'!K46))="",0,IF(IF(IF(ISERROR(DATE(2026,10,1)='Model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inputs'!K46="","",'Model inputs'!K46)))+'Model inputs'!L48</f>
        <v>11271.3</v>
      </c>
      <c r="M46" s="11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inputs'!L46="","",'Model inputs'!L46))="",0,IF(IF(IF(ISERROR(DATE(2026,11,1)='Model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inputs'!L46="","",'Model inputs'!L46)))+'Model inputs'!M48</f>
        <v>8427.047999999999</v>
      </c>
      <c r="N46" s="11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inputs'!M46="","",'Model inputs'!M46))="",0,IF(IF(IF(ISERROR(DATE(2026,12,1)='Model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inputs'!M46="","",'Model inputs'!M46)))+'Model inputs'!N48</f>
        <v>6431.866079999999</v>
      </c>
      <c r="O46" s="11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inputs'!N46="","",'Model inputs'!N46))="",0,IF(IF(IF(ISERROR(DATE(2027,1,1)='Model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inputs'!N46="","",'Model inputs'!N46)))+'Model inputs'!O48</f>
        <v>5251.791436799998</v>
      </c>
      <c r="P46" s="11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inputs'!O46="","",'Model inputs'!O46))="",0,IF(IF(IF(ISERROR(DATE(2027,2,1)='Model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inputs'!O46="","",'Model inputs'!O46)))+'Model inputs'!P48</f>
        <v>4854.219779327998</v>
      </c>
      <c r="Q46" s="11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inputs'!P46="","",'Model inputs'!P46))="",0,IF(IF(IF(ISERROR(DATE(2027,3,1)='Model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inputs'!P46="","",'Model inputs'!P46)))+'Model inputs'!Q48</f>
        <v>5207.850988154878</v>
      </c>
      <c r="R46" s="11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inputs'!Q46="","",'Model inputs'!Q46))="",0,IF(IF(IF(ISERROR(DATE(2027,4,1)='Model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inputs'!Q46="","",'Model inputs'!Q46)))+'Model inputs'!R48</f>
        <v>6282.636948628682</v>
      </c>
      <c r="S46" s="11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inputs'!R46="","",'Model inputs'!R46))="",0,IF(IF(IF(ISERROR(DATE(2027,5,1)='Model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inputs'!R46="","",'Model inputs'!R46)))+'Model inputs'!S48</f>
        <v>8049.731470683535</v>
      </c>
      <c r="T46" s="11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inputs'!S46="","",'Model inputs'!S46))="",0,IF(IF(IF(ISERROR(DATE(2027,6,1)='Model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inputs'!S46="","",'Model inputs'!S46)))+'Model inputs'!T48</f>
        <v>10481.442211856192</v>
      </c>
      <c r="U46" s="11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inputs'!T46="","",'Model inputs'!T46))="",0,IF(IF(IF(ISERROR(DATE(2027,7,1)='Model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inputs'!T46="","",'Model inputs'!T46)))+'Model inputs'!U48</f>
        <v>13551.184523381944</v>
      </c>
      <c r="V46" s="11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inputs'!U46="","",'Model inputs'!U46))="",0,IF(IF(IF(ISERROR(DATE(2027,8,1)='Model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inputs'!U46="","",'Model inputs'!U46)))+'Model inputs'!V48</f>
        <v>17233.437142446666</v>
      </c>
      <c r="W46" s="11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inputs'!V46="","",'Model inputs'!V46))="",0,IF(IF(IF(ISERROR(DATE(2027,9,1)='Model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inputs'!V46="","",'Model inputs'!V46)))+'Model inputs'!W48</f>
        <v>21503.6996567488</v>
      </c>
      <c r="X46" s="11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inputs'!W46="","",'Model inputs'!W46))="",0,IF(IF(IF(ISERROR(DATE(2027,10,1)='Model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inputs'!W46="","",'Model inputs'!W46)))+'Model inputs'!X48</f>
        <v>26338.451670478848</v>
      </c>
      <c r="Y46" s="11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inputs'!X46="","",'Model inputs'!X46))="",0,IF(IF(IF(ISERROR(DATE(2027,11,1)='Model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inputs'!X46="","",'Model inputs'!X46)))+'Model inputs'!Y48</f>
        <v>31715.113603659694</v>
      </c>
      <c r="Z46" s="11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inputs'!Y46="","",'Model inputs'!Y46))="",0,IF(IF(IF(ISERROR(DATE(2027,12,1)='Model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inputs'!Y46="","",'Model inputs'!Y46)))+'Model inputs'!Z48</f>
        <v>37612.00905951331</v>
      </c>
      <c r="AA46" s="11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inputs'!Z46="","",'Model inputs'!Z46))="",0,IF(IF(IF(ISERROR(DATE(2028,1,1)='Model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inputs'!Z46="","",'Model inputs'!Z46)))+'Model inputs'!AA48</f>
        <v>44008.328697132776</v>
      </c>
      <c r="AB46" s="11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inputs'!AA46="","",'Model inputs'!AA46))="",0,IF(IF(IF(ISERROR(DATE(2028,2,1)='Model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inputs'!AA46="","",'Model inputs'!AA46)))+'Model inputs'!AB48</f>
        <v>50884.09554924746</v>
      </c>
      <c r="AC46" s="11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inputs'!AB46="","",'Model inputs'!AB46))="",0,IF(IF(IF(ISERROR(DATE(2028,3,1)='Model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inputs'!AB46="","",'Model inputs'!AB46)))+'Model inputs'!AC48</f>
        <v>58220.131727277556</v>
      </c>
    </row>
    <row r="47">
      <c r="A47" t="inlineStr" s="20">
        <is>
          <t xml:space="preserve">NW Higher-price gross profit · Low-price monthly forecast</t>
        </is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f>'Model inputs'!L77*'Model inputs'!B44</f>
        <v>921.3</v>
      </c>
      <c r="M47" s="11">
        <f>'Model inputs'!M77*'Model inputs'!B44</f>
        <v>1805.748</v>
      </c>
      <c r="N47" s="11">
        <f>'Model inputs'!N77*'Model inputs'!B44</f>
        <v>2654.81808</v>
      </c>
      <c r="O47" s="11">
        <f>'Model inputs'!O77*'Model inputs'!B44</f>
        <v>3469.9253567999995</v>
      </c>
      <c r="P47" s="11">
        <f>'Model inputs'!P77*'Model inputs'!B44</f>
        <v>4252.428342528</v>
      </c>
      <c r="Q47" s="11">
        <f>'Model inputs'!Q77*'Model inputs'!B44</f>
        <v>5003.63120882688</v>
      </c>
      <c r="R47" s="11">
        <f>'Model inputs'!R77*'Model inputs'!B44</f>
        <v>5724.785960473804</v>
      </c>
      <c r="S47" s="11">
        <f>'Model inputs'!S77*'Model inputs'!B44</f>
        <v>6417.094522054853</v>
      </c>
      <c r="T47" s="11">
        <f>'Model inputs'!T77*'Model inputs'!B44</f>
        <v>7081.710741172658</v>
      </c>
      <c r="U47" s="11">
        <f>'Model inputs'!U77*'Model inputs'!B44</f>
        <v>7719.742311525751</v>
      </c>
      <c r="V47" s="11">
        <f>'Model inputs'!V77*'Model inputs'!B44</f>
        <v>8332.25261906472</v>
      </c>
      <c r="W47" s="11">
        <f>'Model inputs'!W77*'Model inputs'!B44</f>
        <v>8920.262514302132</v>
      </c>
      <c r="X47" s="11">
        <f>'Model inputs'!X77*'Model inputs'!B44</f>
        <v>9484.752013730047</v>
      </c>
      <c r="Y47" s="11">
        <f>'Model inputs'!Y77*'Model inputs'!B44</f>
        <v>10026.661933180845</v>
      </c>
      <c r="Z47" s="11">
        <f>'Model inputs'!Z77*'Model inputs'!B44</f>
        <v>10546.89545585361</v>
      </c>
      <c r="AA47" s="11">
        <f>'Model inputs'!AA77*'Model inputs'!B44</f>
        <v>11046.319637619466</v>
      </c>
      <c r="AB47" s="11">
        <f>'Model inputs'!AB77*'Model inputs'!B44</f>
        <v>11525.766852114686</v>
      </c>
      <c r="AC47" s="11">
        <f>'Model inputs'!AC77*'Model inputs'!B44</f>
        <v>11986.036178030097</v>
      </c>
    </row>
    <row r="48">
      <c r="A48" t="inlineStr" s="20">
        <is>
          <t xml:space="preserve">NW Higher-price operating profit · Low-price monthly forecast</t>
        </is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f>'Model inputs'!L47-'Model inputs'!L31-'Model inputs'!L7</f>
        <v>-3728.7</v>
      </c>
      <c r="M48" s="11">
        <f>'Model inputs'!M47-'Model inputs'!M31-'Model inputs'!M7</f>
        <v>-2844.252</v>
      </c>
      <c r="N48" s="11">
        <f>'Model inputs'!N47-'Model inputs'!N31-'Model inputs'!N7</f>
        <v>-1995.18192</v>
      </c>
      <c r="O48" s="11">
        <f>'Model inputs'!O47-'Model inputs'!O31-'Model inputs'!O7</f>
        <v>-1180.0746432000005</v>
      </c>
      <c r="P48" s="11">
        <f>'Model inputs'!P47-'Model inputs'!P31-'Model inputs'!P7</f>
        <v>-397.57165747199997</v>
      </c>
      <c r="Q48" s="11">
        <f>'Model inputs'!Q47-'Model inputs'!Q31-'Model inputs'!Q7</f>
        <v>353.63120882687963</v>
      </c>
      <c r="R48" s="11">
        <f>'Model inputs'!R47-'Model inputs'!R31-'Model inputs'!R7</f>
        <v>1074.7859604738042</v>
      </c>
      <c r="S48" s="11">
        <f>'Model inputs'!S47-'Model inputs'!S31-'Model inputs'!S7</f>
        <v>1767.0945220548529</v>
      </c>
      <c r="T48" s="11">
        <f>'Model inputs'!T47-'Model inputs'!T31-'Model inputs'!T7</f>
        <v>2431.7107411726583</v>
      </c>
      <c r="U48" s="11">
        <f>'Model inputs'!U47-'Model inputs'!U31-'Model inputs'!U7</f>
        <v>3069.7423115257507</v>
      </c>
      <c r="V48" s="11">
        <f>'Model inputs'!V47-'Model inputs'!V31-'Model inputs'!V7</f>
        <v>3682.2526190647204</v>
      </c>
      <c r="W48" s="11">
        <f>'Model inputs'!W47-'Model inputs'!W31-'Model inputs'!W7</f>
        <v>4270.262514302132</v>
      </c>
      <c r="X48" s="11">
        <f>'Model inputs'!X47-'Model inputs'!X31-'Model inputs'!X7</f>
        <v>4834.752013730047</v>
      </c>
      <c r="Y48" s="11">
        <f>'Model inputs'!Y47-'Model inputs'!Y31-'Model inputs'!Y7</f>
        <v>5376.661933180845</v>
      </c>
      <c r="Z48" s="11">
        <f>'Model inputs'!Z47-'Model inputs'!Z31-'Model inputs'!Z7</f>
        <v>5896.89545585361</v>
      </c>
      <c r="AA48" s="11">
        <f>'Model inputs'!AA47-'Model inputs'!AA31-'Model inputs'!AA7</f>
        <v>6396.319637619466</v>
      </c>
      <c r="AB48" s="11">
        <f>'Model inputs'!AB47-'Model inputs'!AB31-'Model inputs'!AB7</f>
        <v>6875.766852114686</v>
      </c>
      <c r="AC48" s="11">
        <f>'Model inputs'!AC47-'Model inputs'!AC31-'Model inputs'!AC7</f>
        <v>7336.036178030097</v>
      </c>
    </row>
    <row r="49">
      <c r="A49" t="inlineStr" s="20">
        <is>
          <t xml:space="preserve">NW Infrastructure per customer</t>
        </is>
      </c>
      <c r="B49" s="10">
        <f>'Model inputs'!B167*'Model inputs'!B166</f>
        <v>0</v>
      </c>
    </row>
    <row r="50" outlineLevel="1">
      <c r="A50" t="inlineStr" s="21">
        <is>
          <t xml:space="preserve">NW Infrastructure per customer &gt; Business</t>
        </is>
      </c>
      <c r="B50" s="11">
        <f>'Model inputs'!B168*'Model inputs'!B166</f>
        <v>5.6000000000000005</v>
      </c>
    </row>
    <row r="51" outlineLevel="1">
      <c r="A51" t="inlineStr" s="21">
        <is>
          <t xml:space="preserve">NW Infrastructure per customer &gt; Community</t>
        </is>
      </c>
      <c r="B51" s="11">
        <f>'Model inputs'!B169*'Model inputs'!B166</f>
        <v>0</v>
      </c>
    </row>
    <row r="52" outlineLevel="1">
      <c r="A52" t="inlineStr" s="21">
        <is>
          <t xml:space="preserve">NW Infrastructure per customer &gt; Starter</t>
        </is>
      </c>
      <c r="B52" s="11">
        <f>'Model inputs'!B170*'Model inputs'!B166</f>
        <v>1.4000000000000001</v>
      </c>
    </row>
    <row r="53" outlineLevel="1">
      <c r="A53" t="inlineStr" s="21">
        <is>
          <t xml:space="preserve">NW Infrastructure per customer &gt; Team</t>
        </is>
      </c>
      <c r="B53" s="11">
        <f>'Model inputs'!B171*'Model inputs'!B166</f>
        <v>2.8000000000000003</v>
      </c>
    </row>
    <row r="54">
      <c r="A54" t="inlineStr" s="20">
        <is>
          <t xml:space="preserve">NW Model cost per customer</t>
        </is>
      </c>
      <c r="B54" s="10">
        <f>'Model inputs'!B188*'Model inputs'!B194*(1-'Model inputs'!B149)</f>
        <v>0</v>
      </c>
    </row>
    <row r="55" outlineLevel="1">
      <c r="A55" t="inlineStr" s="21">
        <is>
          <t xml:space="preserve">NW Model cost per customer &gt; Business</t>
        </is>
      </c>
      <c r="B55" s="11">
        <f>'Model inputs'!B189*'Model inputs'!B194*(1-'Model inputs'!B150)</f>
        <v>18</v>
      </c>
    </row>
    <row r="56" outlineLevel="1">
      <c r="A56" t="inlineStr" s="21">
        <is>
          <t xml:space="preserve">NW Model cost per customer &gt; Community</t>
        </is>
      </c>
      <c r="B56" s="11">
        <f>'Model inputs'!B190*'Model inputs'!B194*(1-'Model inputs'!B151)</f>
        <v>0</v>
      </c>
    </row>
    <row r="57" outlineLevel="1">
      <c r="A57" t="inlineStr" s="21">
        <is>
          <t xml:space="preserve">NW Model cost per customer &gt; Starter</t>
        </is>
      </c>
      <c r="B57" s="11">
        <f>'Model inputs'!B191*'Model inputs'!B194*(1-'Model inputs'!B152)</f>
        <v>0</v>
      </c>
    </row>
    <row r="58" outlineLevel="1">
      <c r="A58" t="inlineStr" s="21">
        <is>
          <t xml:space="preserve">NW Model cost per customer &gt; Team</t>
        </is>
      </c>
      <c r="B58" s="11">
        <f>'Model inputs'!B192*'Model inputs'!B194*(1-'Model inputs'!B153)</f>
        <v>4.8</v>
      </c>
    </row>
    <row r="59">
      <c r="A59" t="inlineStr" s="20">
        <is>
          <t xml:space="preserve">NW Monthly churn · Low-price monthly forecast</t>
        </is>
      </c>
      <c r="B59" s="23">
        <f>0.04</f>
        <v>0.04</v>
      </c>
    </row>
    <row r="60">
      <c r="A60" t="inlineStr" s="20">
        <is>
          <t xml:space="preserve">NW New customers</t>
        </is>
      </c>
      <c r="J60" s="7">
        <f>SUM('Model inputs'!J61,'Model inputs'!J62,'Model inputs'!J63,'Model inputs'!J64)</f>
        <v>0</v>
      </c>
      <c r="K60" s="7">
        <f>SUM('Model inputs'!K61,'Model inputs'!K62,'Model inputs'!K63,'Model inputs'!K64)</f>
        <v>0</v>
      </c>
      <c r="L60" s="7">
        <f>SUM('Model inputs'!L61,'Model inputs'!L62,'Model inputs'!L63,'Model inputs'!L64)</f>
        <v>40</v>
      </c>
      <c r="M60" s="7">
        <f>SUM('Model inputs'!M61,'Model inputs'!M62,'Model inputs'!M63,'Model inputs'!M64)</f>
        <v>40</v>
      </c>
      <c r="N60" s="7">
        <f>SUM('Model inputs'!N61,'Model inputs'!N62,'Model inputs'!N63,'Model inputs'!N64)</f>
        <v>40</v>
      </c>
      <c r="O60" s="7">
        <f>SUM('Model inputs'!O61,'Model inputs'!O62,'Model inputs'!O63,'Model inputs'!O64)</f>
        <v>40</v>
      </c>
      <c r="P60" s="7">
        <f>SUM('Model inputs'!P61,'Model inputs'!P62,'Model inputs'!P63,'Model inputs'!P64)</f>
        <v>40</v>
      </c>
      <c r="Q60" s="7">
        <f>SUM('Model inputs'!Q61,'Model inputs'!Q62,'Model inputs'!Q63,'Model inputs'!Q64)</f>
        <v>40</v>
      </c>
      <c r="R60" s="7">
        <f>SUM('Model inputs'!R61,'Model inputs'!R62,'Model inputs'!R63,'Model inputs'!R64)</f>
        <v>40</v>
      </c>
      <c r="S60" s="7">
        <f>SUM('Model inputs'!S61,'Model inputs'!S62,'Model inputs'!S63,'Model inputs'!S64)</f>
        <v>40</v>
      </c>
      <c r="T60" s="7">
        <f>SUM('Model inputs'!T61,'Model inputs'!T62,'Model inputs'!T63,'Model inputs'!T64)</f>
        <v>40</v>
      </c>
      <c r="U60" s="7">
        <f>SUM('Model inputs'!U61,'Model inputs'!U62,'Model inputs'!U63,'Model inputs'!U64)</f>
        <v>40</v>
      </c>
      <c r="V60" s="7">
        <f>SUM('Model inputs'!V61,'Model inputs'!V62,'Model inputs'!V63,'Model inputs'!V64)</f>
        <v>40</v>
      </c>
      <c r="W60" s="7">
        <f>SUM('Model inputs'!W61,'Model inputs'!W62,'Model inputs'!W63,'Model inputs'!W64)</f>
        <v>40</v>
      </c>
      <c r="X60" s="7">
        <f>SUM('Model inputs'!X61,'Model inputs'!X62,'Model inputs'!X63,'Model inputs'!X64)</f>
        <v>40</v>
      </c>
      <c r="Y60" s="7">
        <f>SUM('Model inputs'!Y61,'Model inputs'!Y62,'Model inputs'!Y63,'Model inputs'!Y64)</f>
        <v>40</v>
      </c>
      <c r="Z60" s="7">
        <f>SUM('Model inputs'!Z61,'Model inputs'!Z62,'Model inputs'!Z63,'Model inputs'!Z64)</f>
        <v>40</v>
      </c>
      <c r="AA60" s="7">
        <f>SUM('Model inputs'!AA61,'Model inputs'!AA62,'Model inputs'!AA63,'Model inputs'!AA64)</f>
        <v>40</v>
      </c>
      <c r="AB60" s="7">
        <f>SUM('Model inputs'!AB61,'Model inputs'!AB62,'Model inputs'!AB63,'Model inputs'!AB64)</f>
        <v>40</v>
      </c>
      <c r="AC60" s="7">
        <f>SUM('Model inputs'!AC61,'Model inputs'!AC62,'Model inputs'!AC63,'Model inputs'!AC64)</f>
        <v>40</v>
      </c>
    </row>
    <row r="61" outlineLevel="1">
      <c r="A61" t="inlineStr" s="21">
        <is>
          <t xml:space="preserve">NW New customers &gt; Business</t>
        </is>
      </c>
      <c r="J61" s="9">
        <f>0</f>
        <v>0</v>
      </c>
      <c r="K61" s="9">
        <f>0</f>
        <v>0</v>
      </c>
      <c r="L61" s="9">
        <f>'Model inputs'!B65*'Model inputs'!B22</f>
        <v>4</v>
      </c>
      <c r="M61" s="9">
        <f>'Model inputs'!B65*'Model inputs'!B22</f>
        <v>4</v>
      </c>
      <c r="N61" s="9">
        <f>'Model inputs'!B65*'Model inputs'!B22</f>
        <v>4</v>
      </c>
      <c r="O61" s="9">
        <f>'Model inputs'!B65*'Model inputs'!B22</f>
        <v>4</v>
      </c>
      <c r="P61" s="9">
        <f>'Model inputs'!B65*'Model inputs'!B22</f>
        <v>4</v>
      </c>
      <c r="Q61" s="9">
        <f>'Model inputs'!B65*'Model inputs'!B22</f>
        <v>4</v>
      </c>
      <c r="R61" s="9">
        <f>'Model inputs'!B65*'Model inputs'!B22</f>
        <v>4</v>
      </c>
      <c r="S61" s="9">
        <f>'Model inputs'!B65*'Model inputs'!B22</f>
        <v>4</v>
      </c>
      <c r="T61" s="9">
        <f>'Model inputs'!B65*'Model inputs'!B22</f>
        <v>4</v>
      </c>
      <c r="U61" s="9">
        <f>'Model inputs'!B65*'Model inputs'!B22</f>
        <v>4</v>
      </c>
      <c r="V61" s="9">
        <f>'Model inputs'!B65*'Model inputs'!B22</f>
        <v>4</v>
      </c>
      <c r="W61" s="9">
        <f>'Model inputs'!B65*'Model inputs'!B22</f>
        <v>4</v>
      </c>
      <c r="X61" s="9">
        <f>'Model inputs'!B65*'Model inputs'!B22</f>
        <v>4</v>
      </c>
      <c r="Y61" s="9">
        <f>'Model inputs'!B65*'Model inputs'!B22</f>
        <v>4</v>
      </c>
      <c r="Z61" s="9">
        <f>'Model inputs'!B65*'Model inputs'!B22</f>
        <v>4</v>
      </c>
      <c r="AA61" s="9">
        <f>'Model inputs'!B65*'Model inputs'!B22</f>
        <v>4</v>
      </c>
      <c r="AB61" s="9">
        <f>'Model inputs'!B65*'Model inputs'!B22</f>
        <v>4</v>
      </c>
      <c r="AC61" s="9">
        <f>'Model inputs'!B65*'Model inputs'!B22</f>
        <v>4</v>
      </c>
    </row>
    <row r="62" outlineLevel="1">
      <c r="A62" t="inlineStr" s="21">
        <is>
          <t xml:space="preserve">NW New customers &gt; Community</t>
        </is>
      </c>
      <c r="J62" s="9">
        <f>0</f>
        <v>0</v>
      </c>
      <c r="K62" s="9">
        <f>0</f>
        <v>0</v>
      </c>
      <c r="L62" s="9">
        <f>'Model inputs'!B65*'Model inputs'!B23</f>
        <v>0</v>
      </c>
      <c r="M62" s="9">
        <f>'Model inputs'!B65*'Model inputs'!B23</f>
        <v>0</v>
      </c>
      <c r="N62" s="9">
        <f>'Model inputs'!B65*'Model inputs'!B23</f>
        <v>0</v>
      </c>
      <c r="O62" s="9">
        <f>'Model inputs'!B65*'Model inputs'!B23</f>
        <v>0</v>
      </c>
      <c r="P62" s="9">
        <f>'Model inputs'!B65*'Model inputs'!B23</f>
        <v>0</v>
      </c>
      <c r="Q62" s="9">
        <f>'Model inputs'!B65*'Model inputs'!B23</f>
        <v>0</v>
      </c>
      <c r="R62" s="9">
        <f>'Model inputs'!B65*'Model inputs'!B23</f>
        <v>0</v>
      </c>
      <c r="S62" s="9">
        <f>'Model inputs'!B65*'Model inputs'!B23</f>
        <v>0</v>
      </c>
      <c r="T62" s="9">
        <f>'Model inputs'!B65*'Model inputs'!B23</f>
        <v>0</v>
      </c>
      <c r="U62" s="9">
        <f>'Model inputs'!B65*'Model inputs'!B23</f>
        <v>0</v>
      </c>
      <c r="V62" s="9">
        <f>'Model inputs'!B65*'Model inputs'!B23</f>
        <v>0</v>
      </c>
      <c r="W62" s="9">
        <f>'Model inputs'!B65*'Model inputs'!B23</f>
        <v>0</v>
      </c>
      <c r="X62" s="9">
        <f>'Model inputs'!B65*'Model inputs'!B23</f>
        <v>0</v>
      </c>
      <c r="Y62" s="9">
        <f>'Model inputs'!B65*'Model inputs'!B23</f>
        <v>0</v>
      </c>
      <c r="Z62" s="9">
        <f>'Model inputs'!B65*'Model inputs'!B23</f>
        <v>0</v>
      </c>
      <c r="AA62" s="9">
        <f>'Model inputs'!B65*'Model inputs'!B23</f>
        <v>0</v>
      </c>
      <c r="AB62" s="9">
        <f>'Model inputs'!B65*'Model inputs'!B23</f>
        <v>0</v>
      </c>
      <c r="AC62" s="9">
        <f>'Model inputs'!B65*'Model inputs'!B23</f>
        <v>0</v>
      </c>
    </row>
    <row r="63" outlineLevel="1">
      <c r="A63" t="inlineStr" s="21">
        <is>
          <t xml:space="preserve">NW New customers &gt; Starter</t>
        </is>
      </c>
      <c r="J63" s="9">
        <f>0</f>
        <v>0</v>
      </c>
      <c r="K63" s="9">
        <f>0</f>
        <v>0</v>
      </c>
      <c r="L63" s="9">
        <f>'Model inputs'!B65*'Model inputs'!B24</f>
        <v>22</v>
      </c>
      <c r="M63" s="9">
        <f>'Model inputs'!B65*'Model inputs'!B24</f>
        <v>22</v>
      </c>
      <c r="N63" s="9">
        <f>'Model inputs'!B65*'Model inputs'!B24</f>
        <v>22</v>
      </c>
      <c r="O63" s="9">
        <f>'Model inputs'!B65*'Model inputs'!B24</f>
        <v>22</v>
      </c>
      <c r="P63" s="9">
        <f>'Model inputs'!B65*'Model inputs'!B24</f>
        <v>22</v>
      </c>
      <c r="Q63" s="9">
        <f>'Model inputs'!B65*'Model inputs'!B24</f>
        <v>22</v>
      </c>
      <c r="R63" s="9">
        <f>'Model inputs'!B65*'Model inputs'!B24</f>
        <v>22</v>
      </c>
      <c r="S63" s="9">
        <f>'Model inputs'!B65*'Model inputs'!B24</f>
        <v>22</v>
      </c>
      <c r="T63" s="9">
        <f>'Model inputs'!B65*'Model inputs'!B24</f>
        <v>22</v>
      </c>
      <c r="U63" s="9">
        <f>'Model inputs'!B65*'Model inputs'!B24</f>
        <v>22</v>
      </c>
      <c r="V63" s="9">
        <f>'Model inputs'!B65*'Model inputs'!B24</f>
        <v>22</v>
      </c>
      <c r="W63" s="9">
        <f>'Model inputs'!B65*'Model inputs'!B24</f>
        <v>22</v>
      </c>
      <c r="X63" s="9">
        <f>'Model inputs'!B65*'Model inputs'!B24</f>
        <v>22</v>
      </c>
      <c r="Y63" s="9">
        <f>'Model inputs'!B65*'Model inputs'!B24</f>
        <v>22</v>
      </c>
      <c r="Z63" s="9">
        <f>'Model inputs'!B65*'Model inputs'!B24</f>
        <v>22</v>
      </c>
      <c r="AA63" s="9">
        <f>'Model inputs'!B65*'Model inputs'!B24</f>
        <v>22</v>
      </c>
      <c r="AB63" s="9">
        <f>'Model inputs'!B65*'Model inputs'!B24</f>
        <v>22</v>
      </c>
      <c r="AC63" s="9">
        <f>'Model inputs'!B65*'Model inputs'!B24</f>
        <v>22</v>
      </c>
    </row>
    <row r="64" outlineLevel="1">
      <c r="A64" t="inlineStr" s="21">
        <is>
          <t xml:space="preserve">NW New customers &gt; Team</t>
        </is>
      </c>
      <c r="J64" s="9">
        <f>0</f>
        <v>0</v>
      </c>
      <c r="K64" s="9">
        <f>0</f>
        <v>0</v>
      </c>
      <c r="L64" s="9">
        <f>'Model inputs'!B65*'Model inputs'!B25</f>
        <v>14</v>
      </c>
      <c r="M64" s="9">
        <f>'Model inputs'!B65*'Model inputs'!B25</f>
        <v>14</v>
      </c>
      <c r="N64" s="9">
        <f>'Model inputs'!B65*'Model inputs'!B25</f>
        <v>14</v>
      </c>
      <c r="O64" s="9">
        <f>'Model inputs'!B65*'Model inputs'!B25</f>
        <v>14</v>
      </c>
      <c r="P64" s="9">
        <f>'Model inputs'!B65*'Model inputs'!B25</f>
        <v>14</v>
      </c>
      <c r="Q64" s="9">
        <f>'Model inputs'!B65*'Model inputs'!B25</f>
        <v>14</v>
      </c>
      <c r="R64" s="9">
        <f>'Model inputs'!B65*'Model inputs'!B25</f>
        <v>14</v>
      </c>
      <c r="S64" s="9">
        <f>'Model inputs'!B65*'Model inputs'!B25</f>
        <v>14</v>
      </c>
      <c r="T64" s="9">
        <f>'Model inputs'!B65*'Model inputs'!B25</f>
        <v>14</v>
      </c>
      <c r="U64" s="9">
        <f>'Model inputs'!B65*'Model inputs'!B25</f>
        <v>14</v>
      </c>
      <c r="V64" s="9">
        <f>'Model inputs'!B65*'Model inputs'!B25</f>
        <v>14</v>
      </c>
      <c r="W64" s="9">
        <f>'Model inputs'!B65*'Model inputs'!B25</f>
        <v>14</v>
      </c>
      <c r="X64" s="9">
        <f>'Model inputs'!B65*'Model inputs'!B25</f>
        <v>14</v>
      </c>
      <c r="Y64" s="9">
        <f>'Model inputs'!B65*'Model inputs'!B25</f>
        <v>14</v>
      </c>
      <c r="Z64" s="9">
        <f>'Model inputs'!B65*'Model inputs'!B25</f>
        <v>14</v>
      </c>
      <c r="AA64" s="9">
        <f>'Model inputs'!B65*'Model inputs'!B25</f>
        <v>14</v>
      </c>
      <c r="AB64" s="9">
        <f>'Model inputs'!B65*'Model inputs'!B25</f>
        <v>14</v>
      </c>
      <c r="AC64" s="9">
        <f>'Model inputs'!B65*'Model inputs'!B25</f>
        <v>14</v>
      </c>
    </row>
    <row r="65">
      <c r="A65" t="inlineStr" s="20">
        <is>
          <t xml:space="preserve">NW New paying customers · Low-price monthly forecast</t>
        </is>
      </c>
      <c r="B65" s="9">
        <f>40</f>
        <v>40</v>
      </c>
    </row>
    <row r="66">
      <c r="A66" t="inlineStr" s="20">
        <is>
          <t xml:space="preserve">NW Opening customers</t>
        </is>
      </c>
      <c r="J66" s="7">
        <f>SUM('Model inputs'!J67,'Model inputs'!J68,'Model inputs'!J69,'Model inputs'!J70)</f>
        <v>0</v>
      </c>
      <c r="K66" s="7">
        <f>SUM('Model inputs'!K67,'Model inputs'!K68,'Model inputs'!K69,'Model inputs'!K70)</f>
        <v>0</v>
      </c>
      <c r="L66" s="7">
        <f>SUM('Model inputs'!L67,'Model inputs'!L68,'Model inputs'!L69,'Model inputs'!L70)</f>
        <v>0</v>
      </c>
      <c r="M66" s="7">
        <f>SUM('Model inputs'!M67,'Model inputs'!M68,'Model inputs'!M69,'Model inputs'!M70)</f>
        <v>40</v>
      </c>
      <c r="N66" s="7">
        <f>SUM('Model inputs'!N67,'Model inputs'!N68,'Model inputs'!N69,'Model inputs'!N70)</f>
        <v>78.4</v>
      </c>
      <c r="O66" s="7">
        <f>SUM('Model inputs'!O67,'Model inputs'!O68,'Model inputs'!O69,'Model inputs'!O70)</f>
        <v>115.26400000000001</v>
      </c>
      <c r="P66" s="7">
        <f>SUM('Model inputs'!P67,'Model inputs'!P68,'Model inputs'!P69,'Model inputs'!P70)</f>
        <v>150.65344</v>
      </c>
      <c r="Q66" s="7">
        <f>SUM('Model inputs'!Q67,'Model inputs'!Q68,'Model inputs'!Q69,'Model inputs'!Q70)</f>
        <v>184.6273024</v>
      </c>
      <c r="R66" s="7">
        <f>SUM('Model inputs'!R67,'Model inputs'!R68,'Model inputs'!R69,'Model inputs'!R70)</f>
        <v>217.242210304</v>
      </c>
      <c r="S66" s="7">
        <f>SUM('Model inputs'!S67,'Model inputs'!S68,'Model inputs'!S69,'Model inputs'!S70)</f>
        <v>248.55252189184</v>
      </c>
      <c r="T66" s="7">
        <f>SUM('Model inputs'!T67,'Model inputs'!T68,'Model inputs'!T69,'Model inputs'!T70)</f>
        <v>278.6104210161664</v>
      </c>
      <c r="U66" s="7">
        <f>SUM('Model inputs'!U67,'Model inputs'!U68,'Model inputs'!U69,'Model inputs'!U70)</f>
        <v>307.46600417551974</v>
      </c>
      <c r="V66" s="7">
        <f>SUM('Model inputs'!V67,'Model inputs'!V68,'Model inputs'!V69,'Model inputs'!V70)</f>
        <v>335.1673640084989</v>
      </c>
      <c r="W66" s="7">
        <f>SUM('Model inputs'!W67,'Model inputs'!W68,'Model inputs'!W69,'Model inputs'!W70)</f>
        <v>361.760669448159</v>
      </c>
      <c r="X66" s="7">
        <f>SUM('Model inputs'!X67,'Model inputs'!X68,'Model inputs'!X69,'Model inputs'!X70)</f>
        <v>387.2902426702326</v>
      </c>
      <c r="Y66" s="7">
        <f>SUM('Model inputs'!Y67,'Model inputs'!Y68,'Model inputs'!Y69,'Model inputs'!Y70)</f>
        <v>411.7986329634233</v>
      </c>
      <c r="Z66" s="7">
        <f>SUM('Model inputs'!Z67,'Model inputs'!Z68,'Model inputs'!Z69,'Model inputs'!Z70)</f>
        <v>435.32668764488636</v>
      </c>
      <c r="AA66" s="7">
        <f>SUM('Model inputs'!AA67,'Model inputs'!AA68,'Model inputs'!AA69,'Model inputs'!AA70)</f>
        <v>457.9136201390909</v>
      </c>
      <c r="AB66" s="7">
        <f>SUM('Model inputs'!AB67,'Model inputs'!AB68,'Model inputs'!AB69,'Model inputs'!AB70)</f>
        <v>479.5970753335273</v>
      </c>
      <c r="AC66" s="7">
        <f>SUM('Model inputs'!AC67,'Model inputs'!AC68,'Model inputs'!AC69,'Model inputs'!AC70)</f>
        <v>500.4131923201861</v>
      </c>
    </row>
    <row r="67" outlineLevel="1">
      <c r="A67" t="inlineStr" s="21">
        <is>
          <t xml:space="preserve">NW Opening customers &gt; Business</t>
        </is>
      </c>
      <c r="J67" s="9">
        <f>0</f>
        <v>0</v>
      </c>
      <c r="K67" s="9">
        <f>0</f>
        <v>0</v>
      </c>
      <c r="L67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inputs'!B22,IF('Model inputs'!K78="","",'Model inputs'!K78))</f>
        <v>0</v>
      </c>
      <c r="M67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inputs'!B22,IF('Model inputs'!L78="","",'Model inputs'!L78))</f>
        <v>4</v>
      </c>
      <c r="N67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inputs'!B22,IF('Model inputs'!M78="","",'Model inputs'!M78))</f>
        <v>7.84</v>
      </c>
      <c r="O67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inputs'!B22,IF('Model inputs'!N78="","",'Model inputs'!N78))</f>
        <v>11.5264</v>
      </c>
      <c r="P67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inputs'!B22,IF('Model inputs'!O78="","",'Model inputs'!O78))</f>
        <v>15.065344000000001</v>
      </c>
      <c r="Q67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inputs'!B22,IF('Model inputs'!P78="","",'Model inputs'!P78))</f>
        <v>18.462730240000003</v>
      </c>
      <c r="R67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inputs'!B22,IF('Model inputs'!Q78="","",'Model inputs'!Q78))</f>
        <v>21.724221030400003</v>
      </c>
      <c r="S67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inputs'!B22,IF('Model inputs'!R78="","",'Model inputs'!R78))</f>
        <v>24.855252189184004</v>
      </c>
      <c r="T67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inputs'!B22,IF('Model inputs'!S78="","",'Model inputs'!S78))</f>
        <v>27.861042101616643</v>
      </c>
      <c r="U67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inputs'!B22,IF('Model inputs'!T78="","",'Model inputs'!T78))</f>
        <v>30.746600417551978</v>
      </c>
      <c r="V67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inputs'!B22,IF('Model inputs'!U78="","",'Model inputs'!U78))</f>
        <v>33.516736400849894</v>
      </c>
      <c r="W67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inputs'!B22,IF('Model inputs'!V78="","",'Model inputs'!V78))</f>
        <v>36.1760669448159</v>
      </c>
      <c r="X67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inputs'!B22,IF('Model inputs'!W78="","",'Model inputs'!W78))</f>
        <v>38.72902426702326</v>
      </c>
      <c r="Y67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inputs'!B22,IF('Model inputs'!X78="","",'Model inputs'!X78))</f>
        <v>41.17986329634233</v>
      </c>
      <c r="Z67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inputs'!B22,IF('Model inputs'!Y78="","",'Model inputs'!Y78))</f>
        <v>43.53266876448864</v>
      </c>
      <c r="AA67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inputs'!B22,IF('Model inputs'!Z78="","",'Model inputs'!Z78))</f>
        <v>45.791362013909094</v>
      </c>
      <c r="AB67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inputs'!B22,IF('Model inputs'!AA78="","",'Model inputs'!AA78))</f>
        <v>47.95970753335273</v>
      </c>
      <c r="AC67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inputs'!B22,IF('Model inputs'!AB78="","",'Model inputs'!AB78))</f>
        <v>50.041319232018616</v>
      </c>
    </row>
    <row r="68" outlineLevel="1">
      <c r="A68" t="inlineStr" s="21">
        <is>
          <t xml:space="preserve">NW Opening customers &gt; Community</t>
        </is>
      </c>
      <c r="J68" s="9">
        <f>0</f>
        <v>0</v>
      </c>
      <c r="K68" s="9">
        <f>0</f>
        <v>0</v>
      </c>
      <c r="L68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inputs'!B23,IF('Model inputs'!K79="","",'Model inputs'!K79))</f>
        <v>0</v>
      </c>
      <c r="M68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inputs'!B23,IF('Model inputs'!L79="","",'Model inputs'!L79))</f>
        <v>0</v>
      </c>
      <c r="N68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inputs'!B23,IF('Model inputs'!M79="","",'Model inputs'!M79))</f>
        <v>0</v>
      </c>
      <c r="O68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inputs'!B23,IF('Model inputs'!N79="","",'Model inputs'!N79))</f>
        <v>0</v>
      </c>
      <c r="P68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inputs'!B23,IF('Model inputs'!O79="","",'Model inputs'!O79))</f>
        <v>0</v>
      </c>
      <c r="Q68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inputs'!B23,IF('Model inputs'!P79="","",'Model inputs'!P79))</f>
        <v>0</v>
      </c>
      <c r="R68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inputs'!B23,IF('Model inputs'!Q79="","",'Model inputs'!Q79))</f>
        <v>0</v>
      </c>
      <c r="S68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inputs'!B23,IF('Model inputs'!R79="","",'Model inputs'!R79))</f>
        <v>0</v>
      </c>
      <c r="T68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inputs'!B23,IF('Model inputs'!S79="","",'Model inputs'!S79))</f>
        <v>0</v>
      </c>
      <c r="U68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inputs'!B23,IF('Model inputs'!T79="","",'Model inputs'!T79))</f>
        <v>0</v>
      </c>
      <c r="V68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inputs'!B23,IF('Model inputs'!U79="","",'Model inputs'!U79))</f>
        <v>0</v>
      </c>
      <c r="W68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inputs'!B23,IF('Model inputs'!V79="","",'Model inputs'!V79))</f>
        <v>0</v>
      </c>
      <c r="X68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inputs'!B23,IF('Model inputs'!W79="","",'Model inputs'!W79))</f>
        <v>0</v>
      </c>
      <c r="Y68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inputs'!B23,IF('Model inputs'!X79="","",'Model inputs'!X79))</f>
        <v>0</v>
      </c>
      <c r="Z68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inputs'!B23,IF('Model inputs'!Y79="","",'Model inputs'!Y79))</f>
        <v>0</v>
      </c>
      <c r="AA68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inputs'!B23,IF('Model inputs'!Z79="","",'Model inputs'!Z79))</f>
        <v>0</v>
      </c>
      <c r="AB68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inputs'!B23,IF('Model inputs'!AA79="","",'Model inputs'!AA79))</f>
        <v>0</v>
      </c>
      <c r="AC68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inputs'!B23,IF('Model inputs'!AB79="","",'Model inputs'!AB79))</f>
        <v>0</v>
      </c>
    </row>
    <row r="69" outlineLevel="1">
      <c r="A69" t="inlineStr" s="21">
        <is>
          <t xml:space="preserve">NW Opening customers &gt; Starter</t>
        </is>
      </c>
      <c r="J69" s="9">
        <f>0</f>
        <v>0</v>
      </c>
      <c r="K69" s="9">
        <f>0</f>
        <v>0</v>
      </c>
      <c r="L69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inputs'!B24,IF('Model inputs'!K80="","",'Model inputs'!K80))</f>
        <v>0</v>
      </c>
      <c r="M69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inputs'!B24,IF('Model inputs'!L80="","",'Model inputs'!L80))</f>
        <v>22</v>
      </c>
      <c r="N69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inputs'!B24,IF('Model inputs'!M80="","",'Model inputs'!M80))</f>
        <v>43.12</v>
      </c>
      <c r="O69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inputs'!B24,IF('Model inputs'!N80="","",'Model inputs'!N80))</f>
        <v>63.3952</v>
      </c>
      <c r="P69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inputs'!B24,IF('Model inputs'!O80="","",'Model inputs'!O80))</f>
        <v>82.859392</v>
      </c>
      <c r="Q69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inputs'!B24,IF('Model inputs'!P80="","",'Model inputs'!P80))</f>
        <v>101.54501632</v>
      </c>
      <c r="R69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inputs'!B24,IF('Model inputs'!Q80="","",'Model inputs'!Q80))</f>
        <v>119.4832156672</v>
      </c>
      <c r="S69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inputs'!B24,IF('Model inputs'!R80="","",'Model inputs'!R80))</f>
        <v>136.703887040512</v>
      </c>
      <c r="T69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inputs'!B24,IF('Model inputs'!S80="","",'Model inputs'!S80))</f>
        <v>153.23573155889153</v>
      </c>
      <c r="U69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inputs'!B24,IF('Model inputs'!T80="","",'Model inputs'!T80))</f>
        <v>169.10630229653586</v>
      </c>
      <c r="V69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inputs'!B24,IF('Model inputs'!U80="","",'Model inputs'!U80))</f>
        <v>184.34205020467442</v>
      </c>
      <c r="W69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inputs'!B24,IF('Model inputs'!V80="","",'Model inputs'!V80))</f>
        <v>198.96836819648743</v>
      </c>
      <c r="X69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inputs'!B24,IF('Model inputs'!W80="","",'Model inputs'!W80))</f>
        <v>213.00963346862792</v>
      </c>
      <c r="Y69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inputs'!B24,IF('Model inputs'!X80="","",'Model inputs'!X80))</f>
        <v>226.4892481298828</v>
      </c>
      <c r="Z69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inputs'!B24,IF('Model inputs'!Y80="","",'Model inputs'!Y80))</f>
        <v>239.4296782046875</v>
      </c>
      <c r="AA69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inputs'!B24,IF('Model inputs'!Z80="","",'Model inputs'!Z80))</f>
        <v>251.8524910765</v>
      </c>
      <c r="AB69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inputs'!B24,IF('Model inputs'!AA80="","",'Model inputs'!AA80))</f>
        <v>263.77839143344</v>
      </c>
      <c r="AC69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inputs'!B24,IF('Model inputs'!AB80="","",'Model inputs'!AB80))</f>
        <v>275.22725577610237</v>
      </c>
    </row>
    <row r="70" outlineLevel="1">
      <c r="A70" t="inlineStr" s="21">
        <is>
          <t xml:space="preserve">NW Opening customers &gt; Team</t>
        </is>
      </c>
      <c r="J70" s="9">
        <f>0</f>
        <v>0</v>
      </c>
      <c r="K70" s="9">
        <f>0</f>
        <v>0</v>
      </c>
      <c r="L70" s="9">
        <f>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inputs'!B33))),'Model inputs'!B91*'Model inputs'!B25,IF('Model inputs'!K81="","",'Model inputs'!K81))</f>
        <v>0</v>
      </c>
      <c r="M70" s="9">
        <f>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inputs'!B33))),'Model inputs'!B91*'Model inputs'!B25,IF('Model inputs'!L81="","",'Model inputs'!L81))</f>
        <v>14</v>
      </c>
      <c r="N70" s="9">
        <f>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inputs'!B33))),'Model inputs'!B91*'Model inputs'!B25,IF('Model inputs'!M81="","",'Model inputs'!M81))</f>
        <v>27.44</v>
      </c>
      <c r="O70" s="9">
        <f>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inputs'!B33))),'Model inputs'!B91*'Model inputs'!B25,IF('Model inputs'!N81="","",'Model inputs'!N81))</f>
        <v>40.3424</v>
      </c>
      <c r="P70" s="9">
        <f>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inputs'!B33))),'Model inputs'!B91*'Model inputs'!B25,IF('Model inputs'!O81="","",'Model inputs'!O81))</f>
        <v>52.728704</v>
      </c>
      <c r="Q70" s="9">
        <f>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inputs'!B33))),'Model inputs'!B91*'Model inputs'!B25,IF('Model inputs'!P81="","",'Model inputs'!P81))</f>
        <v>64.61955583999999</v>
      </c>
      <c r="R70" s="9">
        <f>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inputs'!B33))),'Model inputs'!B91*'Model inputs'!B25,IF('Model inputs'!Q81="","",'Model inputs'!Q81))</f>
        <v>76.0347736064</v>
      </c>
      <c r="S70" s="9">
        <f>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inputs'!B33))),'Model inputs'!B91*'Model inputs'!B25,IF('Model inputs'!R81="","",'Model inputs'!R81))</f>
        <v>86.993382662144</v>
      </c>
      <c r="T70" s="9">
        <f>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inputs'!B33))),'Model inputs'!B91*'Model inputs'!B25,IF('Model inputs'!S81="","",'Model inputs'!S81))</f>
        <v>97.51364735565824</v>
      </c>
      <c r="U70" s="9">
        <f>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inputs'!B33))),'Model inputs'!B91*'Model inputs'!B25,IF('Model inputs'!T81="","",'Model inputs'!T81))</f>
        <v>107.61310146143191</v>
      </c>
      <c r="V70" s="9">
        <f>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inputs'!B33))),'Model inputs'!B91*'Model inputs'!B25,IF('Model inputs'!U81="","",'Model inputs'!U81))</f>
        <v>117.30857740297463</v>
      </c>
      <c r="W70" s="9">
        <f>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inputs'!B33))),'Model inputs'!B91*'Model inputs'!B25,IF('Model inputs'!V81="","",'Model inputs'!V81))</f>
        <v>126.61623430685565</v>
      </c>
      <c r="X70" s="9">
        <f>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inputs'!B33))),'Model inputs'!B91*'Model inputs'!B25,IF('Model inputs'!W81="","",'Model inputs'!W81))</f>
        <v>135.5515849345814</v>
      </c>
      <c r="Y70" s="9">
        <f>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inputs'!B33))),'Model inputs'!B91*'Model inputs'!B25,IF('Model inputs'!X81="","",'Model inputs'!X81))</f>
        <v>144.12952153719814</v>
      </c>
      <c r="Z70" s="9">
        <f>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inputs'!B33))),'Model inputs'!B91*'Model inputs'!B25,IF('Model inputs'!Y81="","",'Model inputs'!Y81))</f>
        <v>152.36434067571022</v>
      </c>
      <c r="AA70" s="9">
        <f>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inputs'!B33))),'Model inputs'!B91*'Model inputs'!B25,IF('Model inputs'!Z81="","",'Model inputs'!Z81))</f>
        <v>160.2697670486818</v>
      </c>
      <c r="AB70" s="9">
        <f>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inputs'!B33))),'Model inputs'!B91*'Model inputs'!B25,IF('Model inputs'!AA81="","",'Model inputs'!AA81))</f>
        <v>167.85897636673454</v>
      </c>
      <c r="AC70" s="9">
        <f>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inputs'!B33))),'Model inputs'!B91*'Model inputs'!B25,IF('Model inputs'!AB81="","",'Model inputs'!AB81))</f>
        <v>175.14461731206515</v>
      </c>
    </row>
    <row r="71">
      <c r="A71" t="inlineStr" s="20">
        <is>
          <t xml:space="preserve">NW Operating profit · Low-price monthly forecast</t>
        </is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f>'Model inputs'!L34-'Model inputs'!L31-'Model inputs'!L7</f>
        <v>-3835.1000000000004</v>
      </c>
      <c r="M71" s="11">
        <f>'Model inputs'!M34-'Model inputs'!M31-'Model inputs'!M7</f>
        <v>-3052.7960000000003</v>
      </c>
      <c r="N71" s="11">
        <f>'Model inputs'!N34-'Model inputs'!N31-'Model inputs'!N7</f>
        <v>-2301.78416</v>
      </c>
      <c r="O71" s="11">
        <f>'Model inputs'!O34-'Model inputs'!O31-'Model inputs'!O7</f>
        <v>-1580.8127936</v>
      </c>
      <c r="P71" s="11">
        <f>'Model inputs'!P34-'Model inputs'!P31-'Model inputs'!P7</f>
        <v>-888.680281856</v>
      </c>
      <c r="Q71" s="11">
        <f>'Model inputs'!Q34-'Model inputs'!Q31-'Model inputs'!Q7</f>
        <v>-224.23307058176033</v>
      </c>
      <c r="R71" s="11">
        <f>'Model inputs'!R34-'Model inputs'!R31-'Model inputs'!R7</f>
        <v>413.6362522415102</v>
      </c>
      <c r="S71" s="11">
        <f>'Model inputs'!S34-'Model inputs'!S31-'Model inputs'!S7</f>
        <v>1025.9908021518495</v>
      </c>
      <c r="T71" s="11">
        <f>'Model inputs'!T34-'Model inputs'!T31-'Model inputs'!T7</f>
        <v>1613.8511700657764</v>
      </c>
      <c r="U71" s="11">
        <f>'Model inputs'!U34-'Model inputs'!U31-'Model inputs'!U7</f>
        <v>2178.197123263144</v>
      </c>
      <c r="V71" s="11">
        <f>'Model inputs'!V34-'Model inputs'!V31-'Model inputs'!V7</f>
        <v>2719.9692383326183</v>
      </c>
      <c r="W71" s="11">
        <f>'Model inputs'!W34-'Model inputs'!W31-'Model inputs'!W7</f>
        <v>3240.070468799313</v>
      </c>
      <c r="X71" s="11">
        <f>'Model inputs'!X34-'Model inputs'!X31-'Model inputs'!X7</f>
        <v>3739.367650047341</v>
      </c>
      <c r="Y71" s="11">
        <f>'Model inputs'!Y34-'Model inputs'!Y31-'Model inputs'!Y7</f>
        <v>4218.692944045448</v>
      </c>
      <c r="Z71" s="11">
        <f>'Model inputs'!Z34-'Model inputs'!Z31-'Model inputs'!Z7</f>
        <v>4678.845226283629</v>
      </c>
      <c r="AA71" s="11">
        <f>'Model inputs'!AA34-'Model inputs'!AA31-'Model inputs'!AA7</f>
        <v>5120.591417232283</v>
      </c>
      <c r="AB71" s="11">
        <f>'Model inputs'!AB34-'Model inputs'!AB31-'Model inputs'!AB7</f>
        <v>5544.667760542992</v>
      </c>
      <c r="AC71" s="11">
        <f>'Model inputs'!AC34-'Model inputs'!AC31-'Model inputs'!AC7</f>
        <v>5951.781050121272</v>
      </c>
    </row>
    <row r="72">
      <c r="A72" t="inlineStr" s="20">
        <is>
          <t xml:space="preserve">NW Overage per customer</t>
        </is>
      </c>
      <c r="B72" s="15">
        <f>'Model inputs'!B172*'Model inputs'!B196*(1-'Model inputs'!B149)</f>
        <v>0</v>
      </c>
    </row>
    <row r="73" outlineLevel="1">
      <c r="A73" t="inlineStr" s="21">
        <is>
          <t xml:space="preserve">NW Overage per customer &gt; Business</t>
        </is>
      </c>
      <c r="B73" s="14">
        <f>'Model inputs'!B173*'Model inputs'!B196*(1-'Model inputs'!B150)</f>
        <v>0</v>
      </c>
    </row>
    <row r="74" outlineLevel="1">
      <c r="A74" t="inlineStr" s="21">
        <is>
          <t xml:space="preserve">NW Overage per customer &gt; Community</t>
        </is>
      </c>
      <c r="B74" s="14">
        <f>'Model inputs'!B174*'Model inputs'!B196*(1-'Model inputs'!B151)</f>
        <v>0</v>
      </c>
    </row>
    <row r="75" outlineLevel="1">
      <c r="A75" t="inlineStr" s="21">
        <is>
          <t xml:space="preserve">NW Overage per customer &gt; Starter</t>
        </is>
      </c>
      <c r="B75" s="14">
        <f>'Model inputs'!B175*'Model inputs'!B196*(1-'Model inputs'!B152)</f>
        <v>0</v>
      </c>
    </row>
    <row r="76" outlineLevel="1">
      <c r="A76" t="inlineStr" s="21">
        <is>
          <t xml:space="preserve">NW Overage per customer &gt; Team</t>
        </is>
      </c>
      <c r="B76" s="14">
        <f>'Model inputs'!B176*'Model inputs'!B196*(1-'Model inputs'!B153)</f>
        <v>0</v>
      </c>
    </row>
    <row r="77">
      <c r="A77" t="inlineStr" s="20">
        <is>
          <t xml:space="preserve">NW Paying customers</t>
        </is>
      </c>
      <c r="J77" s="7">
        <f>SUM('Model inputs'!J78,'Model inputs'!J79,'Model inputs'!J80,'Model inputs'!J81)</f>
        <v>0</v>
      </c>
      <c r="K77" s="7">
        <f>SUM('Model inputs'!K78,'Model inputs'!K79,'Model inputs'!K80,'Model inputs'!K81)</f>
        <v>0</v>
      </c>
      <c r="L77" s="7">
        <f>SUM('Model inputs'!L78,'Model inputs'!L79,'Model inputs'!L80,'Model inputs'!L81)</f>
        <v>40</v>
      </c>
      <c r="M77" s="7">
        <f>SUM('Model inputs'!M78,'Model inputs'!M79,'Model inputs'!M80,'Model inputs'!M81)</f>
        <v>78.4</v>
      </c>
      <c r="N77" s="7">
        <f>SUM('Model inputs'!N78,'Model inputs'!N79,'Model inputs'!N80,'Model inputs'!N81)</f>
        <v>115.26400000000001</v>
      </c>
      <c r="O77" s="7">
        <f>SUM('Model inputs'!O78,'Model inputs'!O79,'Model inputs'!O80,'Model inputs'!O81)</f>
        <v>150.65344</v>
      </c>
      <c r="P77" s="7">
        <f>SUM('Model inputs'!P78,'Model inputs'!P79,'Model inputs'!P80,'Model inputs'!P81)</f>
        <v>184.6273024</v>
      </c>
      <c r="Q77" s="7">
        <f>SUM('Model inputs'!Q78,'Model inputs'!Q79,'Model inputs'!Q80,'Model inputs'!Q81)</f>
        <v>217.242210304</v>
      </c>
      <c r="R77" s="7">
        <f>SUM('Model inputs'!R78,'Model inputs'!R79,'Model inputs'!R80,'Model inputs'!R81)</f>
        <v>248.55252189184</v>
      </c>
      <c r="S77" s="7">
        <f>SUM('Model inputs'!S78,'Model inputs'!S79,'Model inputs'!S80,'Model inputs'!S81)</f>
        <v>278.6104210161664</v>
      </c>
      <c r="T77" s="7">
        <f>SUM('Model inputs'!T78,'Model inputs'!T79,'Model inputs'!T80,'Model inputs'!T81)</f>
        <v>307.46600417551974</v>
      </c>
      <c r="U77" s="7">
        <f>SUM('Model inputs'!U78,'Model inputs'!U79,'Model inputs'!U80,'Model inputs'!U81)</f>
        <v>335.1673640084989</v>
      </c>
      <c r="V77" s="7">
        <f>SUM('Model inputs'!V78,'Model inputs'!V79,'Model inputs'!V80,'Model inputs'!V81)</f>
        <v>361.760669448159</v>
      </c>
      <c r="W77" s="7">
        <f>SUM('Model inputs'!W78,'Model inputs'!W79,'Model inputs'!W80,'Model inputs'!W81)</f>
        <v>387.2902426702326</v>
      </c>
      <c r="X77" s="7">
        <f>SUM('Model inputs'!X78,'Model inputs'!X79,'Model inputs'!X80,'Model inputs'!X81)</f>
        <v>411.7986329634233</v>
      </c>
      <c r="Y77" s="7">
        <f>SUM('Model inputs'!Y78,'Model inputs'!Y79,'Model inputs'!Y80,'Model inputs'!Y81)</f>
        <v>435.32668764488636</v>
      </c>
      <c r="Z77" s="7">
        <f>SUM('Model inputs'!Z78,'Model inputs'!Z79,'Model inputs'!Z80,'Model inputs'!Z81)</f>
        <v>457.9136201390909</v>
      </c>
      <c r="AA77" s="7">
        <f>SUM('Model inputs'!AA78,'Model inputs'!AA79,'Model inputs'!AA80,'Model inputs'!AA81)</f>
        <v>479.5970753335273</v>
      </c>
      <c r="AB77" s="7">
        <f>SUM('Model inputs'!AB78,'Model inputs'!AB79,'Model inputs'!AB80,'Model inputs'!AB81)</f>
        <v>500.4131923201861</v>
      </c>
      <c r="AC77" s="7">
        <f>SUM('Model inputs'!AC78,'Model inputs'!AC79,'Model inputs'!AC80,'Model inputs'!AC81)</f>
        <v>520.3966646273786</v>
      </c>
    </row>
    <row r="78" outlineLevel="1">
      <c r="A78" t="inlineStr" s="21">
        <is>
          <t xml:space="preserve">NW Paying customers &gt; Business</t>
        </is>
      </c>
      <c r="J78" s="9">
        <f>0</f>
        <v>0</v>
      </c>
      <c r="K78" s="9">
        <f>0</f>
        <v>0</v>
      </c>
      <c r="L78" s="9">
        <f>'Model inputs'!L67+'Model inputs'!L61-'Model inputs'!L144</f>
        <v>4</v>
      </c>
      <c r="M78" s="9">
        <f>'Model inputs'!M67+'Model inputs'!M61-'Model inputs'!M144</f>
        <v>7.84</v>
      </c>
      <c r="N78" s="9">
        <f>'Model inputs'!N67+'Model inputs'!N61-'Model inputs'!N144</f>
        <v>11.5264</v>
      </c>
      <c r="O78" s="9">
        <f>'Model inputs'!O67+'Model inputs'!O61-'Model inputs'!O144</f>
        <v>15.065344000000001</v>
      </c>
      <c r="P78" s="9">
        <f>'Model inputs'!P67+'Model inputs'!P61-'Model inputs'!P144</f>
        <v>18.462730240000003</v>
      </c>
      <c r="Q78" s="9">
        <f>'Model inputs'!Q67+'Model inputs'!Q61-'Model inputs'!Q144</f>
        <v>21.724221030400003</v>
      </c>
      <c r="R78" s="9">
        <f>'Model inputs'!R67+'Model inputs'!R61-'Model inputs'!R144</f>
        <v>24.855252189184004</v>
      </c>
      <c r="S78" s="9">
        <f>'Model inputs'!S67+'Model inputs'!S61-'Model inputs'!S144</f>
        <v>27.861042101616643</v>
      </c>
      <c r="T78" s="9">
        <f>'Model inputs'!T67+'Model inputs'!T61-'Model inputs'!T144</f>
        <v>30.746600417551978</v>
      </c>
      <c r="U78" s="9">
        <f>'Model inputs'!U67+'Model inputs'!U61-'Model inputs'!U144</f>
        <v>33.516736400849894</v>
      </c>
      <c r="V78" s="9">
        <f>'Model inputs'!V67+'Model inputs'!V61-'Model inputs'!V144</f>
        <v>36.1760669448159</v>
      </c>
      <c r="W78" s="9">
        <f>'Model inputs'!W67+'Model inputs'!W61-'Model inputs'!W144</f>
        <v>38.72902426702326</v>
      </c>
      <c r="X78" s="9">
        <f>'Model inputs'!X67+'Model inputs'!X61-'Model inputs'!X144</f>
        <v>41.17986329634233</v>
      </c>
      <c r="Y78" s="9">
        <f>'Model inputs'!Y67+'Model inputs'!Y61-'Model inputs'!Y144</f>
        <v>43.53266876448864</v>
      </c>
      <c r="Z78" s="9">
        <f>'Model inputs'!Z67+'Model inputs'!Z61-'Model inputs'!Z144</f>
        <v>45.791362013909094</v>
      </c>
      <c r="AA78" s="9">
        <f>'Model inputs'!AA67+'Model inputs'!AA61-'Model inputs'!AA144</f>
        <v>47.95970753335273</v>
      </c>
      <c r="AB78" s="9">
        <f>'Model inputs'!AB67+'Model inputs'!AB61-'Model inputs'!AB144</f>
        <v>50.041319232018616</v>
      </c>
      <c r="AC78" s="9">
        <f>'Model inputs'!AC67+'Model inputs'!AC61-'Model inputs'!AC144</f>
        <v>52.03966646273787</v>
      </c>
    </row>
    <row r="79" outlineLevel="1">
      <c r="A79" t="inlineStr" s="21">
        <is>
          <t xml:space="preserve">NW Paying customers &gt; Community</t>
        </is>
      </c>
      <c r="J79" s="9">
        <f>0</f>
        <v>0</v>
      </c>
      <c r="K79" s="9">
        <f>0</f>
        <v>0</v>
      </c>
      <c r="L79" s="9">
        <f>'Model inputs'!L68+'Model inputs'!L62-'Model inputs'!L145</f>
        <v>0</v>
      </c>
      <c r="M79" s="9">
        <f>'Model inputs'!M68+'Model inputs'!M62-'Model inputs'!M145</f>
        <v>0</v>
      </c>
      <c r="N79" s="9">
        <f>'Model inputs'!N68+'Model inputs'!N62-'Model inputs'!N145</f>
        <v>0</v>
      </c>
      <c r="O79" s="9">
        <f>'Model inputs'!O68+'Model inputs'!O62-'Model inputs'!O145</f>
        <v>0</v>
      </c>
      <c r="P79" s="9">
        <f>'Model inputs'!P68+'Model inputs'!P62-'Model inputs'!P145</f>
        <v>0</v>
      </c>
      <c r="Q79" s="9">
        <f>'Model inputs'!Q68+'Model inputs'!Q62-'Model inputs'!Q145</f>
        <v>0</v>
      </c>
      <c r="R79" s="9">
        <f>'Model inputs'!R68+'Model inputs'!R62-'Model inputs'!R145</f>
        <v>0</v>
      </c>
      <c r="S79" s="9">
        <f>'Model inputs'!S68+'Model inputs'!S62-'Model inputs'!S145</f>
        <v>0</v>
      </c>
      <c r="T79" s="9">
        <f>'Model inputs'!T68+'Model inputs'!T62-'Model inputs'!T145</f>
        <v>0</v>
      </c>
      <c r="U79" s="9">
        <f>'Model inputs'!U68+'Model inputs'!U62-'Model inputs'!U145</f>
        <v>0</v>
      </c>
      <c r="V79" s="9">
        <f>'Model inputs'!V68+'Model inputs'!V62-'Model inputs'!V145</f>
        <v>0</v>
      </c>
      <c r="W79" s="9">
        <f>'Model inputs'!W68+'Model inputs'!W62-'Model inputs'!W145</f>
        <v>0</v>
      </c>
      <c r="X79" s="9">
        <f>'Model inputs'!X68+'Model inputs'!X62-'Model inputs'!X145</f>
        <v>0</v>
      </c>
      <c r="Y79" s="9">
        <f>'Model inputs'!Y68+'Model inputs'!Y62-'Model inputs'!Y145</f>
        <v>0</v>
      </c>
      <c r="Z79" s="9">
        <f>'Model inputs'!Z68+'Model inputs'!Z62-'Model inputs'!Z145</f>
        <v>0</v>
      </c>
      <c r="AA79" s="9">
        <f>'Model inputs'!AA68+'Model inputs'!AA62-'Model inputs'!AA145</f>
        <v>0</v>
      </c>
      <c r="AB79" s="9">
        <f>'Model inputs'!AB68+'Model inputs'!AB62-'Model inputs'!AB145</f>
        <v>0</v>
      </c>
      <c r="AC79" s="9">
        <f>'Model inputs'!AC68+'Model inputs'!AC62-'Model inputs'!AC145</f>
        <v>0</v>
      </c>
    </row>
    <row r="80" outlineLevel="1">
      <c r="A80" t="inlineStr" s="21">
        <is>
          <t xml:space="preserve">NW Paying customers &gt; Starter</t>
        </is>
      </c>
      <c r="J80" s="9">
        <f>0</f>
        <v>0</v>
      </c>
      <c r="K80" s="9">
        <f>0</f>
        <v>0</v>
      </c>
      <c r="L80" s="9">
        <f>'Model inputs'!L69+'Model inputs'!L63-'Model inputs'!L146</f>
        <v>22</v>
      </c>
      <c r="M80" s="9">
        <f>'Model inputs'!M69+'Model inputs'!M63-'Model inputs'!M146</f>
        <v>43.12</v>
      </c>
      <c r="N80" s="9">
        <f>'Model inputs'!N69+'Model inputs'!N63-'Model inputs'!N146</f>
        <v>63.3952</v>
      </c>
      <c r="O80" s="9">
        <f>'Model inputs'!O69+'Model inputs'!O63-'Model inputs'!O146</f>
        <v>82.859392</v>
      </c>
      <c r="P80" s="9">
        <f>'Model inputs'!P69+'Model inputs'!P63-'Model inputs'!P146</f>
        <v>101.54501632</v>
      </c>
      <c r="Q80" s="9">
        <f>'Model inputs'!Q69+'Model inputs'!Q63-'Model inputs'!Q146</f>
        <v>119.4832156672</v>
      </c>
      <c r="R80" s="9">
        <f>'Model inputs'!R69+'Model inputs'!R63-'Model inputs'!R146</f>
        <v>136.703887040512</v>
      </c>
      <c r="S80" s="9">
        <f>'Model inputs'!S69+'Model inputs'!S63-'Model inputs'!S146</f>
        <v>153.23573155889153</v>
      </c>
      <c r="T80" s="9">
        <f>'Model inputs'!T69+'Model inputs'!T63-'Model inputs'!T146</f>
        <v>169.10630229653586</v>
      </c>
      <c r="U80" s="9">
        <f>'Model inputs'!U69+'Model inputs'!U63-'Model inputs'!U146</f>
        <v>184.34205020467442</v>
      </c>
      <c r="V80" s="9">
        <f>'Model inputs'!V69+'Model inputs'!V63-'Model inputs'!V146</f>
        <v>198.96836819648743</v>
      </c>
      <c r="W80" s="9">
        <f>'Model inputs'!W69+'Model inputs'!W63-'Model inputs'!W146</f>
        <v>213.00963346862792</v>
      </c>
      <c r="X80" s="9">
        <f>'Model inputs'!X69+'Model inputs'!X63-'Model inputs'!X146</f>
        <v>226.4892481298828</v>
      </c>
      <c r="Y80" s="9">
        <f>'Model inputs'!Y69+'Model inputs'!Y63-'Model inputs'!Y146</f>
        <v>239.4296782046875</v>
      </c>
      <c r="Z80" s="9">
        <f>'Model inputs'!Z69+'Model inputs'!Z63-'Model inputs'!Z146</f>
        <v>251.8524910765</v>
      </c>
      <c r="AA80" s="9">
        <f>'Model inputs'!AA69+'Model inputs'!AA63-'Model inputs'!AA146</f>
        <v>263.77839143344</v>
      </c>
      <c r="AB80" s="9">
        <f>'Model inputs'!AB69+'Model inputs'!AB63-'Model inputs'!AB146</f>
        <v>275.22725577610237</v>
      </c>
      <c r="AC80" s="9">
        <f>'Model inputs'!AC69+'Model inputs'!AC63-'Model inputs'!AC146</f>
        <v>286.2181655450583</v>
      </c>
    </row>
    <row r="81" outlineLevel="1">
      <c r="A81" t="inlineStr" s="21">
        <is>
          <t xml:space="preserve">NW Paying customers &gt; Team</t>
        </is>
      </c>
      <c r="J81" s="9">
        <f>0</f>
        <v>0</v>
      </c>
      <c r="K81" s="9">
        <f>0</f>
        <v>0</v>
      </c>
      <c r="L81" s="9">
        <f>'Model inputs'!L70+'Model inputs'!L64-'Model inputs'!L147</f>
        <v>14</v>
      </c>
      <c r="M81" s="9">
        <f>'Model inputs'!M70+'Model inputs'!M64-'Model inputs'!M147</f>
        <v>27.44</v>
      </c>
      <c r="N81" s="9">
        <f>'Model inputs'!N70+'Model inputs'!N64-'Model inputs'!N147</f>
        <v>40.3424</v>
      </c>
      <c r="O81" s="9">
        <f>'Model inputs'!O70+'Model inputs'!O64-'Model inputs'!O147</f>
        <v>52.728704</v>
      </c>
      <c r="P81" s="9">
        <f>'Model inputs'!P70+'Model inputs'!P64-'Model inputs'!P147</f>
        <v>64.61955583999999</v>
      </c>
      <c r="Q81" s="9">
        <f>'Model inputs'!Q70+'Model inputs'!Q64-'Model inputs'!Q147</f>
        <v>76.0347736064</v>
      </c>
      <c r="R81" s="9">
        <f>'Model inputs'!R70+'Model inputs'!R64-'Model inputs'!R147</f>
        <v>86.993382662144</v>
      </c>
      <c r="S81" s="9">
        <f>'Model inputs'!S70+'Model inputs'!S64-'Model inputs'!S147</f>
        <v>97.51364735565824</v>
      </c>
      <c r="T81" s="9">
        <f>'Model inputs'!T70+'Model inputs'!T64-'Model inputs'!T147</f>
        <v>107.61310146143191</v>
      </c>
      <c r="U81" s="9">
        <f>'Model inputs'!U70+'Model inputs'!U64-'Model inputs'!U147</f>
        <v>117.30857740297463</v>
      </c>
      <c r="V81" s="9">
        <f>'Model inputs'!V70+'Model inputs'!V64-'Model inputs'!V147</f>
        <v>126.61623430685565</v>
      </c>
      <c r="W81" s="9">
        <f>'Model inputs'!W70+'Model inputs'!W64-'Model inputs'!W147</f>
        <v>135.5515849345814</v>
      </c>
      <c r="X81" s="9">
        <f>'Model inputs'!X70+'Model inputs'!X64-'Model inputs'!X147</f>
        <v>144.12952153719814</v>
      </c>
      <c r="Y81" s="9">
        <f>'Model inputs'!Y70+'Model inputs'!Y64-'Model inputs'!Y147</f>
        <v>152.36434067571022</v>
      </c>
      <c r="Z81" s="9">
        <f>'Model inputs'!Z70+'Model inputs'!Z64-'Model inputs'!Z147</f>
        <v>160.2697670486818</v>
      </c>
      <c r="AA81" s="9">
        <f>'Model inputs'!AA70+'Model inputs'!AA64-'Model inputs'!AA147</f>
        <v>167.85897636673454</v>
      </c>
      <c r="AB81" s="9">
        <f>'Model inputs'!AB70+'Model inputs'!AB64-'Model inputs'!AB147</f>
        <v>175.14461731206515</v>
      </c>
      <c r="AC81" s="9">
        <f>'Model inputs'!AC70+'Model inputs'!AC64-'Model inputs'!AC147</f>
        <v>182.13883261958256</v>
      </c>
    </row>
    <row r="82">
      <c r="A82" t="inlineStr" s="20">
        <is>
          <t xml:space="preserve">NW Reliability stress cash</t>
        </is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inputs'!K82="","",'Model inputs'!K82))="",0,IF(IF(IF(ISERROR(DATE(2026,10,1)='Model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inputs'!B90="","",'Model inputs'!B90),IF('Model inputs'!K82="","",'Model inputs'!K82)))+'Model inputs'!L84</f>
        <v>11111.175</v>
      </c>
      <c r="M82" s="18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inputs'!L82="","",'Model inputs'!L82))="",0,IF(IF(IF(ISERROR(DATE(2026,11,1)='Model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inputs'!B90="","",'Model inputs'!B90),IF('Model inputs'!L82="","",'Model inputs'!L82)))+'Model inputs'!M84</f>
        <v>7809.0779999999995</v>
      </c>
      <c r="N82" s="18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inputs'!M82="","",'Model inputs'!M82))="",0,IF(IF(IF(ISERROR(DATE(2026,12,1)='Model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inputs'!B90="","",'Model inputs'!B90),IF('Model inputs'!M82="","",'Model inputs'!M82)))+'Model inputs'!N84</f>
        <v>5070.239879999999</v>
      </c>
      <c r="O82" s="18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inputs'!N82="","",'Model inputs'!N82))="",0,IF(IF(IF(ISERROR(DATE(2027,1,1)='Model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inputs'!B90="","",'Model inputs'!B90),IF('Model inputs'!N82="","",'Model inputs'!N82)))+'Model inputs'!O84</f>
        <v>2872.1302847999987</v>
      </c>
      <c r="P82" s="18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inputs'!O82="","",'Model inputs'!O82))="",0,IF(IF(IF(ISERROR(DATE(2027,2,1)='Model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inputs'!B90="","",'Model inputs'!B90),IF('Model inputs'!O82="","",'Model inputs'!O82)))+'Model inputs'!P84</f>
        <v>1193.120073407998</v>
      </c>
      <c r="Q82" s="18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inputs'!P82="","",'Model inputs'!P82))="",0,IF(IF(IF(ISERROR(DATE(2027,3,1)='Model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inputs'!B90="","",'Model inputs'!B90),IF('Model inputs'!P82="","",'Model inputs'!P82)))+'Model inputs'!Q84</f>
        <v>12.445270471677304</v>
      </c>
      <c r="R82" s="18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inputs'!Q82="","",'Model inputs'!Q82))="",0,IF(IF(IF(ISERROR(DATE(2027,4,1)='Model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inputs'!B90="","",'Model inputs'!B90),IF('Model inputs'!Q82="","",'Model inputs'!Q82)))+'Model inputs'!R84</f>
        <v>-689.8275403471907</v>
      </c>
      <c r="S82" s="18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inputs'!R82="","",'Model inputs'!R82))="",0,IF(IF(IF(ISERROR(DATE(2027,5,1)='Model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inputs'!B90="","",'Model inputs'!B90),IF('Model inputs'!R82="","",'Model inputs'!R82)))+'Model inputs'!S84</f>
        <v>-932.8344387333045</v>
      </c>
      <c r="T82" s="18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inputs'!S82="","",'Model inputs'!S82))="",0,IF(IF(IF(ISERROR(DATE(2027,6,1)='Model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inputs'!B90="","",'Model inputs'!B90),IF('Model inputs'!S82="","",'Model inputs'!S82)))+'Model inputs'!T84</f>
        <v>-734.9460611839731</v>
      </c>
      <c r="U82" s="18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inputs'!T82="","",'Model inputs'!T82))="",0,IF(IF(IF(ISERROR(DATE(2027,7,1)='Model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inputs'!B90="","",'Model inputs'!B90),IF('Model inputs'!T82="","",'Model inputs'!T82)))+'Model inputs'!U84</f>
        <v>-113.79821873661513</v>
      </c>
      <c r="V82" s="18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inputs'!U82="","",'Model inputs'!U82))="",0,IF(IF(IF(ISERROR(DATE(2027,8,1)='Model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inputs'!B90="","",'Model inputs'!B90),IF('Model inputs'!U82="","",'Model inputs'!U82)))+'Model inputs'!V84</f>
        <v>913.6787100128477</v>
      </c>
      <c r="W82" s="18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inputs'!V82="","",'Model inputs'!V82))="",0,IF(IF(IF(ISERROR(DATE(2027,9,1)='Model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inputs'!B90="","",'Model inputs'!B90),IF('Model inputs'!V82="","",'Model inputs'!V82)))+'Model inputs'!W84</f>
        <v>2331.2315616123315</v>
      </c>
      <c r="X82" s="18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inputs'!W82="","",'Model inputs'!W82))="",0,IF(IF(IF(ISERROR(DATE(2027,10,1)='Model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inputs'!B90="","",'Model inputs'!B90),IF('Model inputs'!W82="","",'Model inputs'!W82)))+'Model inputs'!X84</f>
        <v>4123.2572991478355</v>
      </c>
      <c r="Y82" s="18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inputs'!X82="","",'Model inputs'!X82))="",0,IF(IF(IF(ISERROR(DATE(2027,11,1)='Model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inputs'!B90="","",'Model inputs'!B90),IF('Model inputs'!X82="","",'Model inputs'!X82)))+'Model inputs'!Y84</f>
        <v>6274.777007181919</v>
      </c>
      <c r="Z82" s="18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inputs'!Y82="","",'Model inputs'!Y82))="",0,IF(IF(IF(ISERROR(DATE(2027,12,1)='Model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inputs'!B90="","",'Model inputs'!B90),IF('Model inputs'!Y82="","",'Model inputs'!Y82)))+'Model inputs'!Z84</f>
        <v>8771.410926894638</v>
      </c>
      <c r="AA82" s="18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inputs'!Z82="","",'Model inputs'!Z82))="",0,IF(IF(IF(ISERROR(DATE(2028,1,1)='Model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inputs'!B90="","",'Model inputs'!B90),IF('Model inputs'!Z82="","",'Model inputs'!Z82)))+'Model inputs'!AA84</f>
        <v>11599.354489818848</v>
      </c>
      <c r="AB82" s="18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inputs'!AA82="","",'Model inputs'!AA82))="",0,IF(IF(IF(ISERROR(DATE(2028,2,1)='Model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inputs'!B90="","",'Model inputs'!B90),IF('Model inputs'!AA82="","",'Model inputs'!AA82)))+'Model inputs'!AB84</f>
        <v>14745.35531022609</v>
      </c>
      <c r="AC82" s="18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inputs'!AB82="","",'Model inputs'!AB82))="",0,IF(IF(IF(ISERROR(DATE(2028,3,1)='Model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inputs'!B90="","",'Model inputs'!B90),IF('Model inputs'!AB82="","",'Model inputs'!AB82)))+'Model inputs'!AC84</f>
        <v>18196.69109781704</v>
      </c>
    </row>
    <row r="83">
      <c r="A83" t="inlineStr" s="20">
        <is>
          <t xml:space="preserve">NW Reliability stress customers</t>
        </is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f>IF(IF(IF(IF(ISERROR(DATE(2026,10,1)='Model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inputs'!B91="","",'Model inputs'!B91),IF('Model inputs'!K83="","",'Model inputs'!K83))="",0,IF(IF(IF(ISERROR(DATE(2026,10,1)='Model inputs'!B33),DATE(2026,10,1)='Model inputs'!B33,IF('Model inputs'!B33="","",DATE(2026,10,1)='Model inputs'!B33))="",FALSE,IF(ISERROR(DATE(2026,10,1)='Model inputs'!B33),DATE(2026,10,1)='Model inputs'!B33,IF('Model inputs'!B33="","",DATE(2026,10,1)='Model inputs'!B33))),IF('Model inputs'!B91="","",'Model inputs'!B91),IF('Model inputs'!K83="","",'Model inputs'!K83)))*(1-'Model inputs'!B59)+'Model inputs'!B92</f>
        <v>30</v>
      </c>
      <c r="M83" s="14">
        <f>IF(IF(IF(IF(ISERROR(DATE(2026,11,1)='Model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inputs'!B91="","",'Model inputs'!B91),IF('Model inputs'!L83="","",'Model inputs'!L83))="",0,IF(IF(IF(ISERROR(DATE(2026,11,1)='Model inputs'!B33),DATE(2026,11,1)='Model inputs'!B33,IF('Model inputs'!B33="","",DATE(2026,11,1)='Model inputs'!B33))="",FALSE,IF(ISERROR(DATE(2026,11,1)='Model inputs'!B33),DATE(2026,11,1)='Model inputs'!B33,IF('Model inputs'!B33="","",DATE(2026,11,1)='Model inputs'!B33))),IF('Model inputs'!B91="","",'Model inputs'!B91),IF('Model inputs'!L83="","",'Model inputs'!L83)))*(1-'Model inputs'!B59)+'Model inputs'!B92</f>
        <v>58.8</v>
      </c>
      <c r="N83" s="14">
        <f>IF(IF(IF(IF(ISERROR(DATE(2026,12,1)='Model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inputs'!B91="","",'Model inputs'!B91),IF('Model inputs'!M83="","",'Model inputs'!M83))="",0,IF(IF(IF(ISERROR(DATE(2026,12,1)='Model inputs'!B33),DATE(2026,12,1)='Model inputs'!B33,IF('Model inputs'!B33="","",DATE(2026,12,1)='Model inputs'!B33))="",FALSE,IF(ISERROR(DATE(2026,12,1)='Model inputs'!B33),DATE(2026,12,1)='Model inputs'!B33,IF('Model inputs'!B33="","",DATE(2026,12,1)='Model inputs'!B33))),IF('Model inputs'!B91="","",'Model inputs'!B91),IF('Model inputs'!M83="","",'Model inputs'!M83)))*(1-'Model inputs'!B59)+'Model inputs'!B92</f>
        <v>86.448</v>
      </c>
      <c r="O83" s="14">
        <f>IF(IF(IF(IF(ISERROR(DATE(2027,1,1)='Model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inputs'!B91="","",'Model inputs'!B91),IF('Model inputs'!N83="","",'Model inputs'!N83))="",0,IF(IF(IF(ISERROR(DATE(2027,1,1)='Model inputs'!B33),DATE(2027,1,1)='Model inputs'!B33,IF('Model inputs'!B33="","",DATE(2027,1,1)='Model inputs'!B33))="",FALSE,IF(ISERROR(DATE(2027,1,1)='Model inputs'!B33),DATE(2027,1,1)='Model inputs'!B33,IF('Model inputs'!B33="","",DATE(2027,1,1)='Model inputs'!B33))),IF('Model inputs'!B91="","",'Model inputs'!B91),IF('Model inputs'!N83="","",'Model inputs'!N83)))*(1-'Model inputs'!B59)+'Model inputs'!B92</f>
        <v>112.99007999999999</v>
      </c>
      <c r="P83" s="14">
        <f>IF(IF(IF(IF(ISERROR(DATE(2027,2,1)='Model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inputs'!B91="","",'Model inputs'!B91),IF('Model inputs'!O83="","",'Model inputs'!O83))="",0,IF(IF(IF(ISERROR(DATE(2027,2,1)='Model inputs'!B33),DATE(2027,2,1)='Model inputs'!B33,IF('Model inputs'!B33="","",DATE(2027,2,1)='Model inputs'!B33))="",FALSE,IF(ISERROR(DATE(2027,2,1)='Model inputs'!B33),DATE(2027,2,1)='Model inputs'!B33,IF('Model inputs'!B33="","",DATE(2027,2,1)='Model inputs'!B33))),IF('Model inputs'!B91="","",'Model inputs'!B91),IF('Model inputs'!O83="","",'Model inputs'!O83)))*(1-'Model inputs'!B59)+'Model inputs'!B92</f>
        <v>138.47047679999997</v>
      </c>
      <c r="Q83" s="14">
        <f>IF(IF(IF(IF(ISERROR(DATE(2027,3,1)='Model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inputs'!B91="","",'Model inputs'!B91),IF('Model inputs'!P83="","",'Model inputs'!P83))="",0,IF(IF(IF(ISERROR(DATE(2027,3,1)='Model inputs'!B33),DATE(2027,3,1)='Model inputs'!B33,IF('Model inputs'!B33="","",DATE(2027,3,1)='Model inputs'!B33))="",FALSE,IF(ISERROR(DATE(2027,3,1)='Model inputs'!B33),DATE(2027,3,1)='Model inputs'!B33,IF('Model inputs'!B33="","",DATE(2027,3,1)='Model inputs'!B33))),IF('Model inputs'!B91="","",'Model inputs'!B91),IF('Model inputs'!P83="","",'Model inputs'!P83)))*(1-'Model inputs'!B59)+'Model inputs'!B92</f>
        <v>162.93165772799998</v>
      </c>
      <c r="R83" s="14">
        <f>IF(IF(IF(IF(ISERROR(DATE(2027,4,1)='Model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inputs'!B91="","",'Model inputs'!B91),IF('Model inputs'!Q83="","",'Model inputs'!Q83))="",0,IF(IF(IF(ISERROR(DATE(2027,4,1)='Model inputs'!B33),DATE(2027,4,1)='Model inputs'!B33,IF('Model inputs'!B33="","",DATE(2027,4,1)='Model inputs'!B33))="",FALSE,IF(ISERROR(DATE(2027,4,1)='Model inputs'!B33),DATE(2027,4,1)='Model inputs'!B33,IF('Model inputs'!B33="","",DATE(2027,4,1)='Model inputs'!B33))),IF('Model inputs'!B91="","",'Model inputs'!B91),IF('Model inputs'!Q83="","",'Model inputs'!Q83)))*(1-'Model inputs'!B59)+'Model inputs'!B92</f>
        <v>186.41439141887997</v>
      </c>
      <c r="S83" s="14">
        <f>IF(IF(IF(IF(ISERROR(DATE(2027,5,1)='Model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inputs'!B91="","",'Model inputs'!B91),IF('Model inputs'!R83="","",'Model inputs'!R83))="",0,IF(IF(IF(ISERROR(DATE(2027,5,1)='Model inputs'!B33),DATE(2027,5,1)='Model inputs'!B33,IF('Model inputs'!B33="","",DATE(2027,5,1)='Model inputs'!B33))="",FALSE,IF(ISERROR(DATE(2027,5,1)='Model inputs'!B33),DATE(2027,5,1)='Model inputs'!B33,IF('Model inputs'!B33="","",DATE(2027,5,1)='Model inputs'!B33))),IF('Model inputs'!B91="","",'Model inputs'!B91),IF('Model inputs'!R83="","",'Model inputs'!R83)))*(1-'Model inputs'!B59)+'Model inputs'!B92</f>
        <v>208.95781576212477</v>
      </c>
      <c r="T83" s="14">
        <f>IF(IF(IF(IF(ISERROR(DATE(2027,6,1)='Model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inputs'!B91="","",'Model inputs'!B91),IF('Model inputs'!S83="","",'Model inputs'!S83))="",0,IF(IF(IF(ISERROR(DATE(2027,6,1)='Model inputs'!B33),DATE(2027,6,1)='Model inputs'!B33,IF('Model inputs'!B33="","",DATE(2027,6,1)='Model inputs'!B33))="",FALSE,IF(ISERROR(DATE(2027,6,1)='Model inputs'!B33),DATE(2027,6,1)='Model inputs'!B33,IF('Model inputs'!B33="","",DATE(2027,6,1)='Model inputs'!B33))),IF('Model inputs'!B91="","",'Model inputs'!B91),IF('Model inputs'!S83="","",'Model inputs'!S83)))*(1-'Model inputs'!B59)+'Model inputs'!B92</f>
        <v>230.59950313163978</v>
      </c>
      <c r="U83" s="14">
        <f>IF(IF(IF(IF(ISERROR(DATE(2027,7,1)='Model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inputs'!B91="","",'Model inputs'!B91),IF('Model inputs'!T83="","",'Model inputs'!T83))="",0,IF(IF(IF(ISERROR(DATE(2027,7,1)='Model inputs'!B33),DATE(2027,7,1)='Model inputs'!B33,IF('Model inputs'!B33="","",DATE(2027,7,1)='Model inputs'!B33))="",FALSE,IF(ISERROR(DATE(2027,7,1)='Model inputs'!B33),DATE(2027,7,1)='Model inputs'!B33,IF('Model inputs'!B33="","",DATE(2027,7,1)='Model inputs'!B33))),IF('Model inputs'!B91="","",'Model inputs'!B91),IF('Model inputs'!T83="","",'Model inputs'!T83)))*(1-'Model inputs'!B59)+'Model inputs'!B92</f>
        <v>251.37552300637418</v>
      </c>
      <c r="V83" s="14">
        <f>IF(IF(IF(IF(ISERROR(DATE(2027,8,1)='Model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inputs'!B91="","",'Model inputs'!B91),IF('Model inputs'!U83="","",'Model inputs'!U83))="",0,IF(IF(IF(ISERROR(DATE(2027,8,1)='Model inputs'!B33),DATE(2027,8,1)='Model inputs'!B33,IF('Model inputs'!B33="","",DATE(2027,8,1)='Model inputs'!B33))="",FALSE,IF(ISERROR(DATE(2027,8,1)='Model inputs'!B33),DATE(2027,8,1)='Model inputs'!B33,IF('Model inputs'!B33="","",DATE(2027,8,1)='Model inputs'!B33))),IF('Model inputs'!B91="","",'Model inputs'!B91),IF('Model inputs'!U83="","",'Model inputs'!U83)))*(1-'Model inputs'!B59)+'Model inputs'!B92</f>
        <v>271.3205020861192</v>
      </c>
      <c r="W83" s="14">
        <f>IF(IF(IF(IF(ISERROR(DATE(2027,9,1)='Model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inputs'!B91="","",'Model inputs'!B91),IF('Model inputs'!V83="","",'Model inputs'!V83))="",0,IF(IF(IF(ISERROR(DATE(2027,9,1)='Model inputs'!B33),DATE(2027,9,1)='Model inputs'!B33,IF('Model inputs'!B33="","",DATE(2027,9,1)='Model inputs'!B33))="",FALSE,IF(ISERROR(DATE(2027,9,1)='Model inputs'!B33),DATE(2027,9,1)='Model inputs'!B33,IF('Model inputs'!B33="","",DATE(2027,9,1)='Model inputs'!B33))),IF('Model inputs'!B91="","",'Model inputs'!B91),IF('Model inputs'!V83="","",'Model inputs'!V83)))*(1-'Model inputs'!B59)+'Model inputs'!B92</f>
        <v>290.4676820026744</v>
      </c>
      <c r="X83" s="14">
        <f>IF(IF(IF(IF(ISERROR(DATE(2027,10,1)='Model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inputs'!B91="","",'Model inputs'!B91),IF('Model inputs'!W83="","",'Model inputs'!W83))="",0,IF(IF(IF(ISERROR(DATE(2027,10,1)='Model inputs'!B33),DATE(2027,10,1)='Model inputs'!B33,IF('Model inputs'!B33="","",DATE(2027,10,1)='Model inputs'!B33))="",FALSE,IF(ISERROR(DATE(2027,10,1)='Model inputs'!B33),DATE(2027,10,1)='Model inputs'!B33,IF('Model inputs'!B33="","",DATE(2027,10,1)='Model inputs'!B33))),IF('Model inputs'!B91="","",'Model inputs'!B91),IF('Model inputs'!W83="","",'Model inputs'!W83)))*(1-'Model inputs'!B59)+'Model inputs'!B92</f>
        <v>308.8489747225674</v>
      </c>
      <c r="Y83" s="14">
        <f>IF(IF(IF(IF(ISERROR(DATE(2027,11,1)='Model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inputs'!B91="","",'Model inputs'!B91),IF('Model inputs'!X83="","",'Model inputs'!X83))="",0,IF(IF(IF(ISERROR(DATE(2027,11,1)='Model inputs'!B33),DATE(2027,11,1)='Model inputs'!B33,IF('Model inputs'!B33="","",DATE(2027,11,1)='Model inputs'!B33))="",FALSE,IF(ISERROR(DATE(2027,11,1)='Model inputs'!B33),DATE(2027,11,1)='Model inputs'!B33,IF('Model inputs'!B33="","",DATE(2027,11,1)='Model inputs'!B33))),IF('Model inputs'!B91="","",'Model inputs'!B91),IF('Model inputs'!X83="","",'Model inputs'!X83)))*(1-'Model inputs'!B59)+'Model inputs'!B92</f>
        <v>326.4950157336647</v>
      </c>
      <c r="Z83" s="14">
        <f>IF(IF(IF(IF(ISERROR(DATE(2027,12,1)='Model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inputs'!B91="","",'Model inputs'!B91),IF('Model inputs'!Y83="","",'Model inputs'!Y83))="",0,IF(IF(IF(ISERROR(DATE(2027,12,1)='Model inputs'!B33),DATE(2027,12,1)='Model inputs'!B33,IF('Model inputs'!B33="","",DATE(2027,12,1)='Model inputs'!B33))="",FALSE,IF(ISERROR(DATE(2027,12,1)='Model inputs'!B33),DATE(2027,12,1)='Model inputs'!B33,IF('Model inputs'!B33="","",DATE(2027,12,1)='Model inputs'!B33))),IF('Model inputs'!B91="","",'Model inputs'!B91),IF('Model inputs'!Y83="","",'Model inputs'!Y83)))*(1-'Model inputs'!B59)+'Model inputs'!B92</f>
        <v>343.43521510431805</v>
      </c>
      <c r="AA83" s="14">
        <f>IF(IF(IF(IF(ISERROR(DATE(2028,1,1)='Model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inputs'!B91="","",'Model inputs'!B91),IF('Model inputs'!Z83="","",'Model inputs'!Z83))="",0,IF(IF(IF(ISERROR(DATE(2028,1,1)='Model inputs'!B33),DATE(2028,1,1)='Model inputs'!B33,IF('Model inputs'!B33="","",DATE(2028,1,1)='Model inputs'!B33))="",FALSE,IF(ISERROR(DATE(2028,1,1)='Model inputs'!B33),DATE(2028,1,1)='Model inputs'!B33,IF('Model inputs'!B33="","",DATE(2028,1,1)='Model inputs'!B33))),IF('Model inputs'!B91="","",'Model inputs'!B91),IF('Model inputs'!Z83="","",'Model inputs'!Z83)))*(1-'Model inputs'!B59)+'Model inputs'!B92</f>
        <v>359.6978065001453</v>
      </c>
      <c r="AB83" s="14">
        <f>IF(IF(IF(IF(ISERROR(DATE(2028,2,1)='Model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inputs'!B91="","",'Model inputs'!B91),IF('Model inputs'!AA83="","",'Model inputs'!AA83))="",0,IF(IF(IF(ISERROR(DATE(2028,2,1)='Model inputs'!B33),DATE(2028,2,1)='Model inputs'!B33,IF('Model inputs'!B33="","",DATE(2028,2,1)='Model inputs'!B33))="",FALSE,IF(ISERROR(DATE(2028,2,1)='Model inputs'!B33),DATE(2028,2,1)='Model inputs'!B33,IF('Model inputs'!B33="","",DATE(2028,2,1)='Model inputs'!B33))),IF('Model inputs'!B91="","",'Model inputs'!B91),IF('Model inputs'!AA83="","",'Model inputs'!AA83)))*(1-'Model inputs'!B59)+'Model inputs'!B92</f>
        <v>375.3098942401395</v>
      </c>
      <c r="AC83" s="14">
        <f>IF(IF(IF(IF(ISERROR(DATE(2028,3,1)='Model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inputs'!B91="","",'Model inputs'!B91),IF('Model inputs'!AB83="","",'Model inputs'!AB83))="",0,IF(IF(IF(ISERROR(DATE(2028,3,1)='Model inputs'!B33),DATE(2028,3,1)='Model inputs'!B33,IF('Model inputs'!B33="","",DATE(2028,3,1)='Model inputs'!B33))="",FALSE,IF(ISERROR(DATE(2028,3,1)='Model inputs'!B33),DATE(2028,3,1)='Model inputs'!B33,IF('Model inputs'!B33="","",DATE(2028,3,1)='Model inputs'!B33))),IF('Model inputs'!B91="","",'Model inputs'!B91),IF('Model inputs'!AB83="","",'Model inputs'!AB83)))*(1-'Model inputs'!B59)+'Model inputs'!B92</f>
        <v>390.2974984705339</v>
      </c>
    </row>
    <row r="84">
      <c r="A84" t="inlineStr" s="20">
        <is>
          <t xml:space="preserve">NW Reliability stress operating profit</t>
        </is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f>'Model inputs'!L83*'Model inputs'!B9-'Model inputs'!B32-'Model inputs'!B92*'Model inputs'!B6</f>
        <v>-3888.825</v>
      </c>
      <c r="M84" s="18">
        <f>'Model inputs'!M83*'Model inputs'!B9-'Model inputs'!B32-'Model inputs'!B92*'Model inputs'!B6</f>
        <v>-3302.097</v>
      </c>
      <c r="N84" s="18">
        <f>'Model inputs'!N83*'Model inputs'!B9-'Model inputs'!B32-'Model inputs'!B92*'Model inputs'!B6</f>
        <v>-2738.8381200000003</v>
      </c>
      <c r="O84" s="18">
        <f>'Model inputs'!O83*'Model inputs'!B9-'Model inputs'!B32-'Model inputs'!B92*'Model inputs'!B6</f>
        <v>-2198.1095952000005</v>
      </c>
      <c r="P84" s="18">
        <f>'Model inputs'!P83*'Model inputs'!B9-'Model inputs'!B32-'Model inputs'!B92*'Model inputs'!B6</f>
        <v>-1679.0102113920007</v>
      </c>
      <c r="Q84" s="18">
        <f>'Model inputs'!Q83*'Model inputs'!B9-'Model inputs'!B32-'Model inputs'!B92*'Model inputs'!B6</f>
        <v>-1180.6748029363207</v>
      </c>
      <c r="R84" s="18">
        <f>'Model inputs'!R83*'Model inputs'!B9-'Model inputs'!B32-'Model inputs'!B92*'Model inputs'!B6</f>
        <v>-702.272810818868</v>
      </c>
      <c r="S84" s="18">
        <f>'Model inputs'!S83*'Model inputs'!B9-'Model inputs'!B32-'Model inputs'!B92*'Model inputs'!B6</f>
        <v>-243.0068983861138</v>
      </c>
      <c r="T84" s="18">
        <f>'Model inputs'!T83*'Model inputs'!B9-'Model inputs'!B32-'Model inputs'!B92*'Model inputs'!B6</f>
        <v>197.88837754933138</v>
      </c>
      <c r="U84" s="18">
        <f>'Model inputs'!U83*'Model inputs'!B9-'Model inputs'!B32-'Model inputs'!B92*'Model inputs'!B6</f>
        <v>621.147842447358</v>
      </c>
      <c r="V84" s="18">
        <f>'Model inputs'!V83*'Model inputs'!B9-'Model inputs'!B32-'Model inputs'!B92*'Model inputs'!B6</f>
        <v>1027.4769287494628</v>
      </c>
      <c r="W84" s="18">
        <f>'Model inputs'!W83*'Model inputs'!B9-'Model inputs'!B32-'Model inputs'!B92*'Model inputs'!B6</f>
        <v>1417.5528515994838</v>
      </c>
      <c r="X84" s="18">
        <f>'Model inputs'!X83*'Model inputs'!B9-'Model inputs'!B32-'Model inputs'!B92*'Model inputs'!B6</f>
        <v>1792.025737535504</v>
      </c>
      <c r="Y84" s="18">
        <f>'Model inputs'!Y83*'Model inputs'!B9-'Model inputs'!B32-'Model inputs'!B92*'Model inputs'!B6</f>
        <v>2151.519708034083</v>
      </c>
      <c r="Z84" s="18">
        <f>'Model inputs'!Z83*'Model inputs'!B9-'Model inputs'!B32-'Model inputs'!B92*'Model inputs'!B6</f>
        <v>2496.633919712719</v>
      </c>
      <c r="AA84" s="18">
        <f>'Model inputs'!AA83*'Model inputs'!B9-'Model inputs'!B32-'Model inputs'!B92*'Model inputs'!B6</f>
        <v>2827.94356292421</v>
      </c>
      <c r="AB84" s="18">
        <f>'Model inputs'!AB83*'Model inputs'!B9-'Model inputs'!B32-'Model inputs'!B92*'Model inputs'!B6</f>
        <v>3146.000820407242</v>
      </c>
      <c r="AC84" s="18">
        <f>'Model inputs'!AC83*'Model inputs'!B9-'Model inputs'!B32-'Model inputs'!B92*'Model inputs'!B6</f>
        <v>3451.3357875909514</v>
      </c>
    </row>
    <row r="85">
      <c r="A85" t="inlineStr" s="20">
        <is>
          <t xml:space="preserve">NW Revenue per customer</t>
        </is>
      </c>
      <c r="B85" s="10">
        <f>'Model inputs'!B93+'Model inputs'!B72</f>
        <v>0</v>
      </c>
    </row>
    <row r="86" outlineLevel="1">
      <c r="A86" t="inlineStr" s="21">
        <is>
          <t xml:space="preserve">NW Revenue per customer &gt; Business</t>
        </is>
      </c>
      <c r="B86" s="11">
        <f>'Model inputs'!B94+'Model inputs'!B73</f>
        <v>156</v>
      </c>
    </row>
    <row r="87" outlineLevel="1">
      <c r="A87" t="inlineStr" s="21">
        <is>
          <t xml:space="preserve">NW Revenue per customer &gt; Community</t>
        </is>
      </c>
      <c r="B87" s="11">
        <f>'Model inputs'!B95+'Model inputs'!B74</f>
        <v>0</v>
      </c>
    </row>
    <row r="88" outlineLevel="1">
      <c r="A88" t="inlineStr" s="21">
        <is>
          <t xml:space="preserve">NW Revenue per customer &gt; Starter</t>
        </is>
      </c>
      <c r="B88" s="11">
        <f>'Model inputs'!B96+'Model inputs'!B75</f>
        <v>5</v>
      </c>
    </row>
    <row r="89" outlineLevel="1">
      <c r="A89" t="inlineStr" s="21">
        <is>
          <t xml:space="preserve">NW Revenue per customer &gt; Team</t>
        </is>
      </c>
      <c r="B89" s="11">
        <f>'Model inputs'!B97+'Model inputs'!B76</f>
        <v>30</v>
      </c>
    </row>
    <row r="90">
      <c r="A90" t="inlineStr" s="20">
        <is>
          <t xml:space="preserve">NW Starting cash · Low-price monthly forecast</t>
        </is>
      </c>
      <c r="B90" s="11">
        <f>15000</f>
        <v>15000</v>
      </c>
    </row>
    <row r="91">
      <c r="A91" t="inlineStr" s="20">
        <is>
          <t xml:space="preserve">NW Starting customers · Low-price monthly forecast</t>
        </is>
      </c>
      <c r="B91" s="9">
        <f>0</f>
        <v>0</v>
      </c>
    </row>
    <row r="92">
      <c r="A92" t="inlineStr" s="20">
        <is>
          <t xml:space="preserve">NW Stress new paying customers</t>
        </is>
      </c>
      <c r="B92" s="14">
        <f>'Model inputs'!B65*(1-'Model inputs'!B148)</f>
        <v>30</v>
      </c>
    </row>
    <row r="93">
      <c r="A93" t="inlineStr" s="20">
        <is>
          <t xml:space="preserve">NW Subscription per customer</t>
        </is>
      </c>
      <c r="B93" s="10">
        <f>'Model inputs'!B198*'Model inputs'!B167</f>
        <v>0</v>
      </c>
    </row>
    <row r="94" outlineLevel="1">
      <c r="A94" t="inlineStr" s="21">
        <is>
          <t xml:space="preserve">NW Subscription per customer &gt; Business</t>
        </is>
      </c>
      <c r="B94" s="11">
        <f>'Model inputs'!B199*'Model inputs'!B168</f>
        <v>156</v>
      </c>
    </row>
    <row r="95" outlineLevel="1">
      <c r="A95" t="inlineStr" s="21">
        <is>
          <t xml:space="preserve">NW Subscription per customer &gt; Community</t>
        </is>
      </c>
      <c r="B95" s="11">
        <f>'Model inputs'!B200*'Model inputs'!B169</f>
        <v>0</v>
      </c>
    </row>
    <row r="96" outlineLevel="1">
      <c r="A96" t="inlineStr" s="21">
        <is>
          <t xml:space="preserve">NW Subscription per customer &gt; Starter</t>
        </is>
      </c>
      <c r="B96" s="11">
        <f>'Model inputs'!B201*'Model inputs'!B170</f>
        <v>5</v>
      </c>
    </row>
    <row r="97" outlineLevel="1">
      <c r="A97" t="inlineStr" s="21">
        <is>
          <t xml:space="preserve">NW Subscription per customer &gt; Team</t>
        </is>
      </c>
      <c r="B97" s="11">
        <f>'Model inputs'!B202*'Model inputs'!B171</f>
        <v>30</v>
      </c>
    </row>
    <row r="98">
      <c r="A98" t="inlineStr" s="20">
        <is>
          <t xml:space="preserve">NW Support per customer</t>
        </is>
      </c>
      <c r="B98" s="10">
        <v>0</v>
      </c>
    </row>
    <row r="99" outlineLevel="1">
      <c r="A99" t="inlineStr" s="21">
        <is>
          <t xml:space="preserve">NW Support per customer &gt; Business</t>
        </is>
      </c>
      <c r="B99" s="11">
        <f>5</f>
        <v>5</v>
      </c>
    </row>
    <row r="100" outlineLevel="1">
      <c r="A100" t="inlineStr" s="21">
        <is>
          <t xml:space="preserve">NW Support per customer &gt; Community</t>
        </is>
      </c>
      <c r="B100" s="11">
        <f>0</f>
        <v>0</v>
      </c>
    </row>
    <row r="101" outlineLevel="1">
      <c r="A101" t="inlineStr" s="21">
        <is>
          <t xml:space="preserve">NW Support per customer &gt; Starter</t>
        </is>
      </c>
      <c r="B101" s="11">
        <f>0.4</f>
        <v>0.4</v>
      </c>
    </row>
    <row r="102" outlineLevel="1">
      <c r="A102" t="inlineStr" s="21">
        <is>
          <t xml:space="preserve">NW Support per customer &gt; Team</t>
        </is>
      </c>
      <c r="B102" s="11">
        <f>1.5</f>
        <v>1.5</v>
      </c>
    </row>
    <row r="103">
      <c r="A103" t="inlineStr" s="20">
        <is>
          <t xml:space="preserve">NW Subscription revenue</t>
        </is>
      </c>
      <c r="L103" s="10">
        <f>SUM('Model inputs'!L104,'Model inputs'!L105,'Model inputs'!L106,'Model inputs'!L107)</f>
        <v>1154</v>
      </c>
      <c r="M103" s="10">
        <f>SUM('Model inputs'!M104,'Model inputs'!M105,'Model inputs'!M106,'Model inputs'!M107)</f>
        <v>2261.84</v>
      </c>
      <c r="N103" s="10">
        <f>SUM('Model inputs'!N104,'Model inputs'!N105,'Model inputs'!N106,'Model inputs'!N107)</f>
        <v>3325.3664</v>
      </c>
      <c r="O103" s="10">
        <f>SUM('Model inputs'!O104,'Model inputs'!O105,'Model inputs'!O106,'Model inputs'!O107)</f>
        <v>4346.3517440000005</v>
      </c>
      <c r="P103" s="10">
        <f>SUM('Model inputs'!P104,'Model inputs'!P105,'Model inputs'!P106,'Model inputs'!P107)</f>
        <v>5326.49767424</v>
      </c>
      <c r="Q103" s="10">
        <f>SUM('Model inputs'!Q104,'Model inputs'!Q105,'Model inputs'!Q106,'Model inputs'!Q107)</f>
        <v>6267.4377672704</v>
      </c>
      <c r="R103" s="10">
        <f>SUM('Model inputs'!R104,'Model inputs'!R105,'Model inputs'!R106,'Model inputs'!R107)</f>
        <v>7170.740256579585</v>
      </c>
      <c r="S103" s="10">
        <f>SUM('Model inputs'!S104,'Model inputs'!S105,'Model inputs'!S106,'Model inputs'!S107)</f>
        <v>8037.910646316402</v>
      </c>
      <c r="T103" s="10">
        <f>SUM('Model inputs'!T104,'Model inputs'!T105,'Model inputs'!T106,'Model inputs'!T107)</f>
        <v>8870.394220463746</v>
      </c>
      <c r="U103" s="10">
        <f>SUM('Model inputs'!U104,'Model inputs'!U105,'Model inputs'!U106,'Model inputs'!U107)</f>
        <v>9669.578451645195</v>
      </c>
      <c r="V103" s="10">
        <f>SUM('Model inputs'!V104,'Model inputs'!V105,'Model inputs'!V106,'Model inputs'!V107)</f>
        <v>10436.795313579387</v>
      </c>
      <c r="W103" s="10">
        <f>SUM('Model inputs'!W104,'Model inputs'!W105,'Model inputs'!W106,'Model inputs'!W107)</f>
        <v>11173.323501036211</v>
      </c>
      <c r="X103" s="10">
        <f>SUM('Model inputs'!X104,'Model inputs'!X105,'Model inputs'!X106,'Model inputs'!X107)</f>
        <v>11880.390560994761</v>
      </c>
      <c r="Y103" s="10">
        <f>SUM('Model inputs'!Y104,'Model inputs'!Y105,'Model inputs'!Y106,'Model inputs'!Y107)</f>
        <v>12559.174938554972</v>
      </c>
      <c r="Z103" s="10">
        <f>SUM('Model inputs'!Z104,'Model inputs'!Z105,'Model inputs'!Z106,'Model inputs'!Z107)</f>
        <v>13210.807941012772</v>
      </c>
      <c r="AA103" s="10">
        <f>SUM('Model inputs'!AA104,'Model inputs'!AA105,'Model inputs'!AA106,'Model inputs'!AA107)</f>
        <v>13836.375623372262</v>
      </c>
      <c r="AB103" s="10">
        <f>SUM('Model inputs'!AB104,'Model inputs'!AB105,'Model inputs'!AB106,'Model inputs'!AB107)</f>
        <v>14436.92059843737</v>
      </c>
      <c r="AC103" s="10">
        <f>SUM('Model inputs'!AC104,'Model inputs'!AC105,'Model inputs'!AC106,'Model inputs'!AC107)</f>
        <v>15013.443774499876</v>
      </c>
    </row>
    <row r="104" outlineLevel="1">
      <c r="A104" t="inlineStr" s="21">
        <is>
          <t xml:space="preserve">NW Subscription revenue &gt; Business</t>
        </is>
      </c>
      <c r="L104" s="11">
        <f>'Model inputs'!L78*'Model inputs'!B94</f>
        <v>624</v>
      </c>
      <c r="M104" s="11">
        <f>'Model inputs'!M78*'Model inputs'!B94</f>
        <v>1223.04</v>
      </c>
      <c r="N104" s="11">
        <f>'Model inputs'!N78*'Model inputs'!B94</f>
        <v>1798.1184</v>
      </c>
      <c r="O104" s="11">
        <f>'Model inputs'!O78*'Model inputs'!B94</f>
        <v>2350.1936640000004</v>
      </c>
      <c r="P104" s="11">
        <f>'Model inputs'!P78*'Model inputs'!B94</f>
        <v>2880.1859174400006</v>
      </c>
      <c r="Q104" s="11">
        <f>'Model inputs'!Q78*'Model inputs'!B94</f>
        <v>3388.9784807424003</v>
      </c>
      <c r="R104" s="11">
        <f>'Model inputs'!R78*'Model inputs'!B94</f>
        <v>3877.4193415127047</v>
      </c>
      <c r="S104" s="11">
        <f>'Model inputs'!S78*'Model inputs'!B94</f>
        <v>4346.322567852197</v>
      </c>
      <c r="T104" s="11">
        <f>'Model inputs'!T78*'Model inputs'!B94</f>
        <v>4796.469665138108</v>
      </c>
      <c r="U104" s="11">
        <f>'Model inputs'!U78*'Model inputs'!B94</f>
        <v>5228.610878532583</v>
      </c>
      <c r="V104" s="11">
        <f>'Model inputs'!V78*'Model inputs'!B94</f>
        <v>5643.46644339128</v>
      </c>
      <c r="W104" s="11">
        <f>'Model inputs'!W78*'Model inputs'!B94</f>
        <v>6041.727785655629</v>
      </c>
      <c r="X104" s="11">
        <f>'Model inputs'!X78*'Model inputs'!B94</f>
        <v>6424.058674229404</v>
      </c>
      <c r="Y104" s="11">
        <f>'Model inputs'!Y78*'Model inputs'!B94</f>
        <v>6791.096327260228</v>
      </c>
      <c r="Z104" s="11">
        <f>'Model inputs'!Z78*'Model inputs'!B94</f>
        <v>7143.452474169819</v>
      </c>
      <c r="AA104" s="11">
        <f>'Model inputs'!AA78*'Model inputs'!B94</f>
        <v>7481.714375203025</v>
      </c>
      <c r="AB104" s="11">
        <f>'Model inputs'!AB78*'Model inputs'!B94</f>
        <v>7806.445800194904</v>
      </c>
      <c r="AC104" s="11">
        <f>'Model inputs'!AC78*'Model inputs'!B94</f>
        <v>8118.187968187108</v>
      </c>
    </row>
    <row r="105" outlineLevel="1">
      <c r="A105" t="inlineStr" s="21">
        <is>
          <t xml:space="preserve">NW Subscription revenue &gt; Community</t>
        </is>
      </c>
      <c r="L105" s="11">
        <f>'Model inputs'!L79*'Model inputs'!B95</f>
        <v>0</v>
      </c>
      <c r="M105" s="11">
        <f>'Model inputs'!M79*'Model inputs'!B95</f>
        <v>0</v>
      </c>
      <c r="N105" s="11">
        <f>'Model inputs'!N79*'Model inputs'!B95</f>
        <v>0</v>
      </c>
      <c r="O105" s="11">
        <f>'Model inputs'!O79*'Model inputs'!B95</f>
        <v>0</v>
      </c>
      <c r="P105" s="11">
        <f>'Model inputs'!P79*'Model inputs'!B95</f>
        <v>0</v>
      </c>
      <c r="Q105" s="11">
        <f>'Model inputs'!Q79*'Model inputs'!B95</f>
        <v>0</v>
      </c>
      <c r="R105" s="11">
        <f>'Model inputs'!R79*'Model inputs'!B95</f>
        <v>0</v>
      </c>
      <c r="S105" s="11">
        <f>'Model inputs'!S79*'Model inputs'!B95</f>
        <v>0</v>
      </c>
      <c r="T105" s="11">
        <f>'Model inputs'!T79*'Model inputs'!B95</f>
        <v>0</v>
      </c>
      <c r="U105" s="11">
        <f>'Model inputs'!U79*'Model inputs'!B95</f>
        <v>0</v>
      </c>
      <c r="V105" s="11">
        <f>'Model inputs'!V79*'Model inputs'!B95</f>
        <v>0</v>
      </c>
      <c r="W105" s="11">
        <f>'Model inputs'!W79*'Model inputs'!B95</f>
        <v>0</v>
      </c>
      <c r="X105" s="11">
        <f>'Model inputs'!X79*'Model inputs'!B95</f>
        <v>0</v>
      </c>
      <c r="Y105" s="11">
        <f>'Model inputs'!Y79*'Model inputs'!B95</f>
        <v>0</v>
      </c>
      <c r="Z105" s="11">
        <f>'Model inputs'!Z79*'Model inputs'!B95</f>
        <v>0</v>
      </c>
      <c r="AA105" s="11">
        <f>'Model inputs'!AA79*'Model inputs'!B95</f>
        <v>0</v>
      </c>
      <c r="AB105" s="11">
        <f>'Model inputs'!AB79*'Model inputs'!B95</f>
        <v>0</v>
      </c>
      <c r="AC105" s="11">
        <f>'Model inputs'!AC79*'Model inputs'!B95</f>
        <v>0</v>
      </c>
    </row>
    <row r="106" outlineLevel="1">
      <c r="A106" t="inlineStr" s="21">
        <is>
          <t xml:space="preserve">NW Subscription revenue &gt; Starter</t>
        </is>
      </c>
      <c r="L106" s="11">
        <f>'Model inputs'!L80*'Model inputs'!B96</f>
        <v>110</v>
      </c>
      <c r="M106" s="11">
        <f>'Model inputs'!M80*'Model inputs'!B96</f>
        <v>215.6</v>
      </c>
      <c r="N106" s="11">
        <f>'Model inputs'!N80*'Model inputs'!B96</f>
        <v>316.976</v>
      </c>
      <c r="O106" s="11">
        <f>'Model inputs'!O80*'Model inputs'!B96</f>
        <v>414.29696</v>
      </c>
      <c r="P106" s="11">
        <f>'Model inputs'!P80*'Model inputs'!B96</f>
        <v>507.7250816</v>
      </c>
      <c r="Q106" s="11">
        <f>'Model inputs'!Q80*'Model inputs'!B96</f>
        <v>597.416078336</v>
      </c>
      <c r="R106" s="11">
        <f>'Model inputs'!R80*'Model inputs'!B96</f>
        <v>683.51943520256</v>
      </c>
      <c r="S106" s="11">
        <f>'Model inputs'!S80*'Model inputs'!B96</f>
        <v>766.1786577944576</v>
      </c>
      <c r="T106" s="11">
        <f>'Model inputs'!T80*'Model inputs'!B96</f>
        <v>845.5315114826793</v>
      </c>
      <c r="U106" s="11">
        <f>'Model inputs'!U80*'Model inputs'!B96</f>
        <v>921.7102510233722</v>
      </c>
      <c r="V106" s="11">
        <f>'Model inputs'!V80*'Model inputs'!B96</f>
        <v>994.8418409824371</v>
      </c>
      <c r="W106" s="11">
        <f>'Model inputs'!W80*'Model inputs'!B96</f>
        <v>1065.0481673431395</v>
      </c>
      <c r="X106" s="11">
        <f>'Model inputs'!X80*'Model inputs'!B96</f>
        <v>1132.446240649414</v>
      </c>
      <c r="Y106" s="11">
        <f>'Model inputs'!Y80*'Model inputs'!B96</f>
        <v>1197.1483910234374</v>
      </c>
      <c r="Z106" s="11">
        <f>'Model inputs'!Z80*'Model inputs'!B96</f>
        <v>1259.2624553825</v>
      </c>
      <c r="AA106" s="11">
        <f>'Model inputs'!AA80*'Model inputs'!B96</f>
        <v>1318.8919571672</v>
      </c>
      <c r="AB106" s="11">
        <f>'Model inputs'!AB80*'Model inputs'!B96</f>
        <v>1376.1362788805118</v>
      </c>
      <c r="AC106" s="11">
        <f>'Model inputs'!AC80*'Model inputs'!B96</f>
        <v>1431.0908277252915</v>
      </c>
    </row>
    <row r="107" outlineLevel="1">
      <c r="A107" t="inlineStr" s="21">
        <is>
          <t xml:space="preserve">NW Subscription revenue &gt; Team</t>
        </is>
      </c>
      <c r="L107" s="11">
        <f>'Model inputs'!L81*'Model inputs'!B97</f>
        <v>420</v>
      </c>
      <c r="M107" s="11">
        <f>'Model inputs'!M81*'Model inputs'!B97</f>
        <v>823.2</v>
      </c>
      <c r="N107" s="11">
        <f>'Model inputs'!N81*'Model inputs'!B97</f>
        <v>1210.272</v>
      </c>
      <c r="O107" s="11">
        <f>'Model inputs'!O81*'Model inputs'!B97</f>
        <v>1581.86112</v>
      </c>
      <c r="P107" s="11">
        <f>'Model inputs'!P81*'Model inputs'!B97</f>
        <v>1938.5866751999997</v>
      </c>
      <c r="Q107" s="11">
        <f>'Model inputs'!Q81*'Model inputs'!B97</f>
        <v>2281.043208192</v>
      </c>
      <c r="R107" s="11">
        <f>'Model inputs'!R81*'Model inputs'!B97</f>
        <v>2609.80147986432</v>
      </c>
      <c r="S107" s="11">
        <f>'Model inputs'!S81*'Model inputs'!B97</f>
        <v>2925.4094206697473</v>
      </c>
      <c r="T107" s="11">
        <f>'Model inputs'!T81*'Model inputs'!B97</f>
        <v>3228.3930438429575</v>
      </c>
      <c r="U107" s="11">
        <f>'Model inputs'!U81*'Model inputs'!B97</f>
        <v>3519.257322089239</v>
      </c>
      <c r="V107" s="11">
        <f>'Model inputs'!V81*'Model inputs'!B97</f>
        <v>3798.4870292056694</v>
      </c>
      <c r="W107" s="11">
        <f>'Model inputs'!W81*'Model inputs'!B97</f>
        <v>4066.547548037442</v>
      </c>
      <c r="X107" s="11">
        <f>'Model inputs'!X81*'Model inputs'!B97</f>
        <v>4323.885646115944</v>
      </c>
      <c r="Y107" s="11">
        <f>'Model inputs'!Y81*'Model inputs'!B97</f>
        <v>4570.930220271307</v>
      </c>
      <c r="Z107" s="11">
        <f>'Model inputs'!Z81*'Model inputs'!B97</f>
        <v>4808.093011460454</v>
      </c>
      <c r="AA107" s="11">
        <f>'Model inputs'!AA81*'Model inputs'!B97</f>
        <v>5035.769291002036</v>
      </c>
      <c r="AB107" s="11">
        <f>'Model inputs'!AB81*'Model inputs'!B97</f>
        <v>5254.338519361954</v>
      </c>
      <c r="AC107" s="11">
        <f>'Model inputs'!AC81*'Model inputs'!B97</f>
        <v>5464.164978587477</v>
      </c>
    </row>
    <row r="108">
      <c r="A108" t="inlineStr" s="20">
        <is>
          <t xml:space="preserve">NW Support delivery cost</t>
        </is>
      </c>
      <c r="L108" s="10">
        <f>SUM('Model inputs'!L109,'Model inputs'!L110,'Model inputs'!L111,'Model inputs'!L112)</f>
        <v>49.8</v>
      </c>
      <c r="M108" s="10">
        <f>SUM('Model inputs'!M109,'Model inputs'!M110,'Model inputs'!M111,'Model inputs'!M112)</f>
        <v>97.608</v>
      </c>
      <c r="N108" s="10">
        <f>SUM('Model inputs'!N109,'Model inputs'!N110,'Model inputs'!N111,'Model inputs'!N112)</f>
        <v>143.50368</v>
      </c>
      <c r="O108" s="10">
        <f>SUM('Model inputs'!O109,'Model inputs'!O110,'Model inputs'!O111,'Model inputs'!O112)</f>
        <v>187.56353280000002</v>
      </c>
      <c r="P108" s="10">
        <f>SUM('Model inputs'!P109,'Model inputs'!P110,'Model inputs'!P111,'Model inputs'!P112)</f>
        <v>229.860991488</v>
      </c>
      <c r="Q108" s="10">
        <f>SUM('Model inputs'!Q109,'Model inputs'!Q110,'Model inputs'!Q111,'Model inputs'!Q112)</f>
        <v>270.46655182848</v>
      </c>
      <c r="R108" s="10">
        <f>SUM('Model inputs'!R109,'Model inputs'!R110,'Model inputs'!R111,'Model inputs'!R112)</f>
        <v>309.44788975534084</v>
      </c>
      <c r="S108" s="10">
        <f>SUM('Model inputs'!S109,'Model inputs'!S110,'Model inputs'!S111,'Model inputs'!S112)</f>
        <v>346.8699741651272</v>
      </c>
      <c r="T108" s="10">
        <f>SUM('Model inputs'!T109,'Model inputs'!T110,'Model inputs'!T111,'Model inputs'!T112)</f>
        <v>382.7951751985221</v>
      </c>
      <c r="U108" s="10">
        <f>SUM('Model inputs'!U109,'Model inputs'!U110,'Model inputs'!U111,'Model inputs'!U112)</f>
        <v>417.2833681905812</v>
      </c>
      <c r="V108" s="10">
        <f>SUM('Model inputs'!V109,'Model inputs'!V110,'Model inputs'!V111,'Model inputs'!V112)</f>
        <v>450.39203346295795</v>
      </c>
      <c r="W108" s="10">
        <f>SUM('Model inputs'!W109,'Model inputs'!W110,'Model inputs'!W111,'Model inputs'!W112)</f>
        <v>482.1763521244396</v>
      </c>
      <c r="X108" s="10">
        <f>SUM('Model inputs'!X109,'Model inputs'!X110,'Model inputs'!X111,'Model inputs'!X112)</f>
        <v>512.6892980394621</v>
      </c>
      <c r="Y108" s="10">
        <f>SUM('Model inputs'!Y109,'Model inputs'!Y110,'Model inputs'!Y111,'Model inputs'!Y112)</f>
        <v>541.9817261178836</v>
      </c>
      <c r="Z108" s="10">
        <f>SUM('Model inputs'!Z109,'Model inputs'!Z110,'Model inputs'!Z111,'Model inputs'!Z112)</f>
        <v>570.1024570731681</v>
      </c>
      <c r="AA108" s="10">
        <f>SUM('Model inputs'!AA109,'Model inputs'!AA110,'Model inputs'!AA111,'Model inputs'!AA112)</f>
        <v>597.0983587902415</v>
      </c>
      <c r="AB108" s="10">
        <f>SUM('Model inputs'!AB109,'Model inputs'!AB110,'Model inputs'!AB111,'Model inputs'!AB112)</f>
        <v>623.0144244386317</v>
      </c>
      <c r="AC108" s="10">
        <f>SUM('Model inputs'!AC109,'Model inputs'!AC110,'Model inputs'!AC111,'Model inputs'!AC112)</f>
        <v>647.8938474610865</v>
      </c>
    </row>
    <row r="109" outlineLevel="1">
      <c r="A109" t="inlineStr" s="21">
        <is>
          <t xml:space="preserve">NW Support delivery cost &gt; Business</t>
        </is>
      </c>
      <c r="L109" s="11">
        <f>'Model inputs'!L78*'Model inputs'!B99</f>
        <v>20</v>
      </c>
      <c r="M109" s="11">
        <f>'Model inputs'!M78*'Model inputs'!B99</f>
        <v>39.2</v>
      </c>
      <c r="N109" s="11">
        <f>'Model inputs'!N78*'Model inputs'!B99</f>
        <v>57.632000000000005</v>
      </c>
      <c r="O109" s="11">
        <f>'Model inputs'!O78*'Model inputs'!B99</f>
        <v>75.32672000000001</v>
      </c>
      <c r="P109" s="11">
        <f>'Model inputs'!P78*'Model inputs'!B99</f>
        <v>92.31365120000001</v>
      </c>
      <c r="Q109" s="11">
        <f>'Model inputs'!Q78*'Model inputs'!B99</f>
        <v>108.62110515200001</v>
      </c>
      <c r="R109" s="11">
        <f>'Model inputs'!R78*'Model inputs'!B99</f>
        <v>124.27626094592001</v>
      </c>
      <c r="S109" s="11">
        <f>'Model inputs'!S78*'Model inputs'!B99</f>
        <v>139.3052105080832</v>
      </c>
      <c r="T109" s="11">
        <f>'Model inputs'!T78*'Model inputs'!B99</f>
        <v>153.7330020877599</v>
      </c>
      <c r="U109" s="11">
        <f>'Model inputs'!U78*'Model inputs'!B99</f>
        <v>167.58368200424945</v>
      </c>
      <c r="V109" s="11">
        <f>'Model inputs'!V78*'Model inputs'!B99</f>
        <v>180.8803347240795</v>
      </c>
      <c r="W109" s="11">
        <f>'Model inputs'!W78*'Model inputs'!B99</f>
        <v>193.6451213351163</v>
      </c>
      <c r="X109" s="11">
        <f>'Model inputs'!X78*'Model inputs'!B99</f>
        <v>205.89931648171165</v>
      </c>
      <c r="Y109" s="11">
        <f>'Model inputs'!Y78*'Model inputs'!B99</f>
        <v>217.6633438224432</v>
      </c>
      <c r="Z109" s="11">
        <f>'Model inputs'!Z78*'Model inputs'!B99</f>
        <v>228.95681006954547</v>
      </c>
      <c r="AA109" s="11">
        <f>'Model inputs'!AA78*'Model inputs'!B99</f>
        <v>239.79853766676365</v>
      </c>
      <c r="AB109" s="11">
        <f>'Model inputs'!AB78*'Model inputs'!B99</f>
        <v>250.20659616009308</v>
      </c>
      <c r="AC109" s="11">
        <f>'Model inputs'!AC78*'Model inputs'!B99</f>
        <v>260.1983323136893</v>
      </c>
    </row>
    <row r="110" outlineLevel="1">
      <c r="A110" t="inlineStr" s="21">
        <is>
          <t xml:space="preserve">NW Support delivery cost &gt; Community</t>
        </is>
      </c>
      <c r="L110" s="11">
        <f>'Model inputs'!L79*'Model inputs'!B100</f>
        <v>0</v>
      </c>
      <c r="M110" s="11">
        <f>'Model inputs'!M79*'Model inputs'!B100</f>
        <v>0</v>
      </c>
      <c r="N110" s="11">
        <f>'Model inputs'!N79*'Model inputs'!B100</f>
        <v>0</v>
      </c>
      <c r="O110" s="11">
        <f>'Model inputs'!O79*'Model inputs'!B100</f>
        <v>0</v>
      </c>
      <c r="P110" s="11">
        <f>'Model inputs'!P79*'Model inputs'!B100</f>
        <v>0</v>
      </c>
      <c r="Q110" s="11">
        <f>'Model inputs'!Q79*'Model inputs'!B100</f>
        <v>0</v>
      </c>
      <c r="R110" s="11">
        <f>'Model inputs'!R79*'Model inputs'!B100</f>
        <v>0</v>
      </c>
      <c r="S110" s="11">
        <f>'Model inputs'!S79*'Model inputs'!B100</f>
        <v>0</v>
      </c>
      <c r="T110" s="11">
        <f>'Model inputs'!T79*'Model inputs'!B100</f>
        <v>0</v>
      </c>
      <c r="U110" s="11">
        <f>'Model inputs'!U79*'Model inputs'!B100</f>
        <v>0</v>
      </c>
      <c r="V110" s="11">
        <f>'Model inputs'!V79*'Model inputs'!B100</f>
        <v>0</v>
      </c>
      <c r="W110" s="11">
        <f>'Model inputs'!W79*'Model inputs'!B100</f>
        <v>0</v>
      </c>
      <c r="X110" s="11">
        <f>'Model inputs'!X79*'Model inputs'!B100</f>
        <v>0</v>
      </c>
      <c r="Y110" s="11">
        <f>'Model inputs'!Y79*'Model inputs'!B100</f>
        <v>0</v>
      </c>
      <c r="Z110" s="11">
        <f>'Model inputs'!Z79*'Model inputs'!B100</f>
        <v>0</v>
      </c>
      <c r="AA110" s="11">
        <f>'Model inputs'!AA79*'Model inputs'!B100</f>
        <v>0</v>
      </c>
      <c r="AB110" s="11">
        <f>'Model inputs'!AB79*'Model inputs'!B100</f>
        <v>0</v>
      </c>
      <c r="AC110" s="11">
        <f>'Model inputs'!AC79*'Model inputs'!B100</f>
        <v>0</v>
      </c>
    </row>
    <row r="111" outlineLevel="1">
      <c r="A111" t="inlineStr" s="21">
        <is>
          <t xml:space="preserve">NW Support delivery cost &gt; Starter</t>
        </is>
      </c>
      <c r="L111" s="11">
        <f>'Model inputs'!L80*'Model inputs'!B101</f>
        <v>8.8</v>
      </c>
      <c r="M111" s="11">
        <f>'Model inputs'!M80*'Model inputs'!B101</f>
        <v>17.248</v>
      </c>
      <c r="N111" s="11">
        <f>'Model inputs'!N80*'Model inputs'!B101</f>
        <v>25.35808</v>
      </c>
      <c r="O111" s="11">
        <f>'Model inputs'!O80*'Model inputs'!B101</f>
        <v>33.1437568</v>
      </c>
      <c r="P111" s="11">
        <f>'Model inputs'!P80*'Model inputs'!B101</f>
        <v>40.618006528</v>
      </c>
      <c r="Q111" s="11">
        <f>'Model inputs'!Q80*'Model inputs'!B101</f>
        <v>47.79328626688</v>
      </c>
      <c r="R111" s="11">
        <f>'Model inputs'!R80*'Model inputs'!B101</f>
        <v>54.6815548162048</v>
      </c>
      <c r="S111" s="11">
        <f>'Model inputs'!S80*'Model inputs'!B101</f>
        <v>61.294292623556615</v>
      </c>
      <c r="T111" s="11">
        <f>'Model inputs'!T80*'Model inputs'!B101</f>
        <v>67.64252091861435</v>
      </c>
      <c r="U111" s="11">
        <f>'Model inputs'!U80*'Model inputs'!B101</f>
        <v>73.73682008186977</v>
      </c>
      <c r="V111" s="11">
        <f>'Model inputs'!V80*'Model inputs'!B101</f>
        <v>79.58734727859498</v>
      </c>
      <c r="W111" s="11">
        <f>'Model inputs'!W80*'Model inputs'!B101</f>
        <v>85.20385338745118</v>
      </c>
      <c r="X111" s="11">
        <f>'Model inputs'!X80*'Model inputs'!B101</f>
        <v>90.59569925195314</v>
      </c>
      <c r="Y111" s="11">
        <f>'Model inputs'!Y80*'Model inputs'!B101</f>
        <v>95.77187128187501</v>
      </c>
      <c r="Z111" s="11">
        <f>'Model inputs'!Z80*'Model inputs'!B101</f>
        <v>100.7409964306</v>
      </c>
      <c r="AA111" s="11">
        <f>'Model inputs'!AA80*'Model inputs'!B101</f>
        <v>105.511356573376</v>
      </c>
      <c r="AB111" s="11">
        <f>'Model inputs'!AB80*'Model inputs'!B101</f>
        <v>110.09090231044095</v>
      </c>
      <c r="AC111" s="11">
        <f>'Model inputs'!AC80*'Model inputs'!B101</f>
        <v>114.48726621802332</v>
      </c>
    </row>
    <row r="112" outlineLevel="1">
      <c r="A112" t="inlineStr" s="21">
        <is>
          <t xml:space="preserve">NW Support delivery cost &gt; Team</t>
        </is>
      </c>
      <c r="L112" s="11">
        <f>'Model inputs'!L81*'Model inputs'!B102</f>
        <v>21</v>
      </c>
      <c r="M112" s="11">
        <f>'Model inputs'!M81*'Model inputs'!B102</f>
        <v>41.160000000000004</v>
      </c>
      <c r="N112" s="11">
        <f>'Model inputs'!N81*'Model inputs'!B102</f>
        <v>60.5136</v>
      </c>
      <c r="O112" s="11">
        <f>'Model inputs'!O81*'Model inputs'!B102</f>
        <v>79.093056</v>
      </c>
      <c r="P112" s="11">
        <f>'Model inputs'!P81*'Model inputs'!B102</f>
        <v>96.92933375999999</v>
      </c>
      <c r="Q112" s="11">
        <f>'Model inputs'!Q81*'Model inputs'!B102</f>
        <v>114.05216040959999</v>
      </c>
      <c r="R112" s="11">
        <f>'Model inputs'!R81*'Model inputs'!B102</f>
        <v>130.49007399321601</v>
      </c>
      <c r="S112" s="11">
        <f>'Model inputs'!S81*'Model inputs'!B102</f>
        <v>146.27047103348735</v>
      </c>
      <c r="T112" s="11">
        <f>'Model inputs'!T81*'Model inputs'!B102</f>
        <v>161.41965219214785</v>
      </c>
      <c r="U112" s="11">
        <f>'Model inputs'!U81*'Model inputs'!B102</f>
        <v>175.96286610446197</v>
      </c>
      <c r="V112" s="11">
        <f>'Model inputs'!V81*'Model inputs'!B102</f>
        <v>189.92435146028348</v>
      </c>
      <c r="W112" s="11">
        <f>'Model inputs'!W81*'Model inputs'!B102</f>
        <v>203.3273774018721</v>
      </c>
      <c r="X112" s="11">
        <f>'Model inputs'!X81*'Model inputs'!B102</f>
        <v>216.19428230579723</v>
      </c>
      <c r="Y112" s="11">
        <f>'Model inputs'!Y81*'Model inputs'!B102</f>
        <v>228.54651101356535</v>
      </c>
      <c r="Z112" s="11">
        <f>'Model inputs'!Z81*'Model inputs'!B102</f>
        <v>240.4046505730227</v>
      </c>
      <c r="AA112" s="11">
        <f>'Model inputs'!AA81*'Model inputs'!B102</f>
        <v>251.78846455010182</v>
      </c>
      <c r="AB112" s="11">
        <f>'Model inputs'!AB81*'Model inputs'!B102</f>
        <v>262.7169259680977</v>
      </c>
      <c r="AC112" s="11">
        <f>'Model inputs'!AC81*'Model inputs'!B102</f>
        <v>273.20824892937384</v>
      </c>
    </row>
    <row r="113">
      <c r="A113" t="inlineStr" s="20">
        <is>
          <t xml:space="preserve">NW Revenue</t>
        </is>
      </c>
      <c r="L113" s="10">
        <f>SUM('Model inputs'!L114,'Model inputs'!L115,'Model inputs'!L116,'Model inputs'!L117)</f>
        <v>1154</v>
      </c>
      <c r="M113" s="10">
        <f>SUM('Model inputs'!M114,'Model inputs'!M115,'Model inputs'!M116,'Model inputs'!M117)</f>
        <v>2261.84</v>
      </c>
      <c r="N113" s="10">
        <f>SUM('Model inputs'!N114,'Model inputs'!N115,'Model inputs'!N116,'Model inputs'!N117)</f>
        <v>3325.3664</v>
      </c>
      <c r="O113" s="10">
        <f>SUM('Model inputs'!O114,'Model inputs'!O115,'Model inputs'!O116,'Model inputs'!O117)</f>
        <v>4346.3517440000005</v>
      </c>
      <c r="P113" s="10">
        <f>SUM('Model inputs'!P114,'Model inputs'!P115,'Model inputs'!P116,'Model inputs'!P117)</f>
        <v>5326.49767424</v>
      </c>
      <c r="Q113" s="10">
        <f>SUM('Model inputs'!Q114,'Model inputs'!Q115,'Model inputs'!Q116,'Model inputs'!Q117)</f>
        <v>6267.4377672704</v>
      </c>
      <c r="R113" s="10">
        <f>SUM('Model inputs'!R114,'Model inputs'!R115,'Model inputs'!R116,'Model inputs'!R117)</f>
        <v>7170.740256579585</v>
      </c>
      <c r="S113" s="10">
        <f>SUM('Model inputs'!S114,'Model inputs'!S115,'Model inputs'!S116,'Model inputs'!S117)</f>
        <v>8037.910646316402</v>
      </c>
      <c r="T113" s="10">
        <f>SUM('Model inputs'!T114,'Model inputs'!T115,'Model inputs'!T116,'Model inputs'!T117)</f>
        <v>8870.394220463746</v>
      </c>
      <c r="U113" s="10">
        <f>SUM('Model inputs'!U114,'Model inputs'!U115,'Model inputs'!U116,'Model inputs'!U117)</f>
        <v>9669.578451645195</v>
      </c>
      <c r="V113" s="10">
        <f>SUM('Model inputs'!V114,'Model inputs'!V115,'Model inputs'!V116,'Model inputs'!V117)</f>
        <v>10436.795313579387</v>
      </c>
      <c r="W113" s="10">
        <f>SUM('Model inputs'!W114,'Model inputs'!W115,'Model inputs'!W116,'Model inputs'!W117)</f>
        <v>11173.323501036211</v>
      </c>
      <c r="X113" s="10">
        <f>SUM('Model inputs'!X114,'Model inputs'!X115,'Model inputs'!X116,'Model inputs'!X117)</f>
        <v>11880.390560994761</v>
      </c>
      <c r="Y113" s="10">
        <f>SUM('Model inputs'!Y114,'Model inputs'!Y115,'Model inputs'!Y116,'Model inputs'!Y117)</f>
        <v>12559.174938554972</v>
      </c>
      <c r="Z113" s="10">
        <f>SUM('Model inputs'!Z114,'Model inputs'!Z115,'Model inputs'!Z116,'Model inputs'!Z117)</f>
        <v>13210.807941012772</v>
      </c>
      <c r="AA113" s="10">
        <f>SUM('Model inputs'!AA114,'Model inputs'!AA115,'Model inputs'!AA116,'Model inputs'!AA117)</f>
        <v>13836.375623372262</v>
      </c>
      <c r="AB113" s="10">
        <f>SUM('Model inputs'!AB114,'Model inputs'!AB115,'Model inputs'!AB116,'Model inputs'!AB117)</f>
        <v>14436.92059843737</v>
      </c>
      <c r="AC113" s="10">
        <f>SUM('Model inputs'!AC114,'Model inputs'!AC115,'Model inputs'!AC116,'Model inputs'!AC117)</f>
        <v>15013.443774499876</v>
      </c>
    </row>
    <row r="114" outlineLevel="1">
      <c r="A114" t="inlineStr" s="21">
        <is>
          <t xml:space="preserve">NW Revenue &gt; Business</t>
        </is>
      </c>
      <c r="L114" s="11">
        <f>'Model inputs'!L78*'Model inputs'!B86</f>
        <v>624</v>
      </c>
      <c r="M114" s="11">
        <f>'Model inputs'!M78*'Model inputs'!B86</f>
        <v>1223.04</v>
      </c>
      <c r="N114" s="11">
        <f>'Model inputs'!N78*'Model inputs'!B86</f>
        <v>1798.1184</v>
      </c>
      <c r="O114" s="11">
        <f>'Model inputs'!O78*'Model inputs'!B86</f>
        <v>2350.1936640000004</v>
      </c>
      <c r="P114" s="11">
        <f>'Model inputs'!P78*'Model inputs'!B86</f>
        <v>2880.1859174400006</v>
      </c>
      <c r="Q114" s="11">
        <f>'Model inputs'!Q78*'Model inputs'!B86</f>
        <v>3388.9784807424003</v>
      </c>
      <c r="R114" s="11">
        <f>'Model inputs'!R78*'Model inputs'!B86</f>
        <v>3877.4193415127047</v>
      </c>
      <c r="S114" s="11">
        <f>'Model inputs'!S78*'Model inputs'!B86</f>
        <v>4346.322567852197</v>
      </c>
      <c r="T114" s="11">
        <f>'Model inputs'!T78*'Model inputs'!B86</f>
        <v>4796.469665138108</v>
      </c>
      <c r="U114" s="11">
        <f>'Model inputs'!U78*'Model inputs'!B86</f>
        <v>5228.610878532583</v>
      </c>
      <c r="V114" s="11">
        <f>'Model inputs'!V78*'Model inputs'!B86</f>
        <v>5643.46644339128</v>
      </c>
      <c r="W114" s="11">
        <f>'Model inputs'!W78*'Model inputs'!B86</f>
        <v>6041.727785655629</v>
      </c>
      <c r="X114" s="11">
        <f>'Model inputs'!X78*'Model inputs'!B86</f>
        <v>6424.058674229404</v>
      </c>
      <c r="Y114" s="11">
        <f>'Model inputs'!Y78*'Model inputs'!B86</f>
        <v>6791.096327260228</v>
      </c>
      <c r="Z114" s="11">
        <f>'Model inputs'!Z78*'Model inputs'!B86</f>
        <v>7143.452474169819</v>
      </c>
      <c r="AA114" s="11">
        <f>'Model inputs'!AA78*'Model inputs'!B86</f>
        <v>7481.714375203025</v>
      </c>
      <c r="AB114" s="11">
        <f>'Model inputs'!AB78*'Model inputs'!B86</f>
        <v>7806.445800194904</v>
      </c>
      <c r="AC114" s="11">
        <f>'Model inputs'!AC78*'Model inputs'!B86</f>
        <v>8118.187968187108</v>
      </c>
    </row>
    <row r="115" outlineLevel="1">
      <c r="A115" t="inlineStr" s="21">
        <is>
          <t xml:space="preserve">NW Revenue &gt; Community</t>
        </is>
      </c>
      <c r="L115" s="11">
        <f>'Model inputs'!L79*'Model inputs'!B87</f>
        <v>0</v>
      </c>
      <c r="M115" s="11">
        <f>'Model inputs'!M79*'Model inputs'!B87</f>
        <v>0</v>
      </c>
      <c r="N115" s="11">
        <f>'Model inputs'!N79*'Model inputs'!B87</f>
        <v>0</v>
      </c>
      <c r="O115" s="11">
        <f>'Model inputs'!O79*'Model inputs'!B87</f>
        <v>0</v>
      </c>
      <c r="P115" s="11">
        <f>'Model inputs'!P79*'Model inputs'!B87</f>
        <v>0</v>
      </c>
      <c r="Q115" s="11">
        <f>'Model inputs'!Q79*'Model inputs'!B87</f>
        <v>0</v>
      </c>
      <c r="R115" s="11">
        <f>'Model inputs'!R79*'Model inputs'!B87</f>
        <v>0</v>
      </c>
      <c r="S115" s="11">
        <f>'Model inputs'!S79*'Model inputs'!B87</f>
        <v>0</v>
      </c>
      <c r="T115" s="11">
        <f>'Model inputs'!T79*'Model inputs'!B87</f>
        <v>0</v>
      </c>
      <c r="U115" s="11">
        <f>'Model inputs'!U79*'Model inputs'!B87</f>
        <v>0</v>
      </c>
      <c r="V115" s="11">
        <f>'Model inputs'!V79*'Model inputs'!B87</f>
        <v>0</v>
      </c>
      <c r="W115" s="11">
        <f>'Model inputs'!W79*'Model inputs'!B87</f>
        <v>0</v>
      </c>
      <c r="X115" s="11">
        <f>'Model inputs'!X79*'Model inputs'!B87</f>
        <v>0</v>
      </c>
      <c r="Y115" s="11">
        <f>'Model inputs'!Y79*'Model inputs'!B87</f>
        <v>0</v>
      </c>
      <c r="Z115" s="11">
        <f>'Model inputs'!Z79*'Model inputs'!B87</f>
        <v>0</v>
      </c>
      <c r="AA115" s="11">
        <f>'Model inputs'!AA79*'Model inputs'!B87</f>
        <v>0</v>
      </c>
      <c r="AB115" s="11">
        <f>'Model inputs'!AB79*'Model inputs'!B87</f>
        <v>0</v>
      </c>
      <c r="AC115" s="11">
        <f>'Model inputs'!AC79*'Model inputs'!B87</f>
        <v>0</v>
      </c>
    </row>
    <row r="116" outlineLevel="1">
      <c r="A116" t="inlineStr" s="21">
        <is>
          <t xml:space="preserve">NW Revenue &gt; Starter</t>
        </is>
      </c>
      <c r="L116" s="11">
        <f>'Model inputs'!L80*'Model inputs'!B88</f>
        <v>110</v>
      </c>
      <c r="M116" s="11">
        <f>'Model inputs'!M80*'Model inputs'!B88</f>
        <v>215.6</v>
      </c>
      <c r="N116" s="11">
        <f>'Model inputs'!N80*'Model inputs'!B88</f>
        <v>316.976</v>
      </c>
      <c r="O116" s="11">
        <f>'Model inputs'!O80*'Model inputs'!B88</f>
        <v>414.29696</v>
      </c>
      <c r="P116" s="11">
        <f>'Model inputs'!P80*'Model inputs'!B88</f>
        <v>507.7250816</v>
      </c>
      <c r="Q116" s="11">
        <f>'Model inputs'!Q80*'Model inputs'!B88</f>
        <v>597.416078336</v>
      </c>
      <c r="R116" s="11">
        <f>'Model inputs'!R80*'Model inputs'!B88</f>
        <v>683.51943520256</v>
      </c>
      <c r="S116" s="11">
        <f>'Model inputs'!S80*'Model inputs'!B88</f>
        <v>766.1786577944576</v>
      </c>
      <c r="T116" s="11">
        <f>'Model inputs'!T80*'Model inputs'!B88</f>
        <v>845.5315114826793</v>
      </c>
      <c r="U116" s="11">
        <f>'Model inputs'!U80*'Model inputs'!B88</f>
        <v>921.7102510233722</v>
      </c>
      <c r="V116" s="11">
        <f>'Model inputs'!V80*'Model inputs'!B88</f>
        <v>994.8418409824371</v>
      </c>
      <c r="W116" s="11">
        <f>'Model inputs'!W80*'Model inputs'!B88</f>
        <v>1065.0481673431395</v>
      </c>
      <c r="X116" s="11">
        <f>'Model inputs'!X80*'Model inputs'!B88</f>
        <v>1132.446240649414</v>
      </c>
      <c r="Y116" s="11">
        <f>'Model inputs'!Y80*'Model inputs'!B88</f>
        <v>1197.1483910234374</v>
      </c>
      <c r="Z116" s="11">
        <f>'Model inputs'!Z80*'Model inputs'!B88</f>
        <v>1259.2624553825</v>
      </c>
      <c r="AA116" s="11">
        <f>'Model inputs'!AA80*'Model inputs'!B88</f>
        <v>1318.8919571672</v>
      </c>
      <c r="AB116" s="11">
        <f>'Model inputs'!AB80*'Model inputs'!B88</f>
        <v>1376.1362788805118</v>
      </c>
      <c r="AC116" s="11">
        <f>'Model inputs'!AC80*'Model inputs'!B88</f>
        <v>1431.0908277252915</v>
      </c>
    </row>
    <row r="117" outlineLevel="1">
      <c r="A117" t="inlineStr" s="21">
        <is>
          <t xml:space="preserve">NW Revenue &gt; Team</t>
        </is>
      </c>
      <c r="L117" s="11">
        <f>'Model inputs'!L81*'Model inputs'!B89</f>
        <v>420</v>
      </c>
      <c r="M117" s="11">
        <f>'Model inputs'!M81*'Model inputs'!B89</f>
        <v>823.2</v>
      </c>
      <c r="N117" s="11">
        <f>'Model inputs'!N81*'Model inputs'!B89</f>
        <v>1210.272</v>
      </c>
      <c r="O117" s="11">
        <f>'Model inputs'!O81*'Model inputs'!B89</f>
        <v>1581.86112</v>
      </c>
      <c r="P117" s="11">
        <f>'Model inputs'!P81*'Model inputs'!B89</f>
        <v>1938.5866751999997</v>
      </c>
      <c r="Q117" s="11">
        <f>'Model inputs'!Q81*'Model inputs'!B89</f>
        <v>2281.043208192</v>
      </c>
      <c r="R117" s="11">
        <f>'Model inputs'!R81*'Model inputs'!B89</f>
        <v>2609.80147986432</v>
      </c>
      <c r="S117" s="11">
        <f>'Model inputs'!S81*'Model inputs'!B89</f>
        <v>2925.4094206697473</v>
      </c>
      <c r="T117" s="11">
        <f>'Model inputs'!T81*'Model inputs'!B89</f>
        <v>3228.3930438429575</v>
      </c>
      <c r="U117" s="11">
        <f>'Model inputs'!U81*'Model inputs'!B89</f>
        <v>3519.257322089239</v>
      </c>
      <c r="V117" s="11">
        <f>'Model inputs'!V81*'Model inputs'!B89</f>
        <v>3798.4870292056694</v>
      </c>
      <c r="W117" s="11">
        <f>'Model inputs'!W81*'Model inputs'!B89</f>
        <v>4066.547548037442</v>
      </c>
      <c r="X117" s="11">
        <f>'Model inputs'!X81*'Model inputs'!B89</f>
        <v>4323.885646115944</v>
      </c>
      <c r="Y117" s="11">
        <f>'Model inputs'!Y81*'Model inputs'!B89</f>
        <v>4570.930220271307</v>
      </c>
      <c r="Z117" s="11">
        <f>'Model inputs'!Z81*'Model inputs'!B89</f>
        <v>4808.093011460454</v>
      </c>
      <c r="AA117" s="11">
        <f>'Model inputs'!AA81*'Model inputs'!B89</f>
        <v>5035.769291002036</v>
      </c>
      <c r="AB117" s="11">
        <f>'Model inputs'!AB81*'Model inputs'!B89</f>
        <v>5254.338519361954</v>
      </c>
      <c r="AC117" s="11">
        <f>'Model inputs'!AC81*'Model inputs'!B89</f>
        <v>5464.164978587477</v>
      </c>
    </row>
    <row r="118">
      <c r="A118" t="inlineStr" s="20">
        <is>
          <t xml:space="preserve">NW Cost of revenue</t>
        </is>
      </c>
      <c r="L118" s="10">
        <f>SUM('Model inputs'!L119,'Model inputs'!L120,'Model inputs'!L121,'Model inputs'!L122)</f>
        <v>339.1</v>
      </c>
      <c r="M118" s="10">
        <f>SUM('Model inputs'!M119,'Model inputs'!M120,'Model inputs'!M121,'Model inputs'!M122)</f>
        <v>664.636</v>
      </c>
      <c r="N118" s="10">
        <f>SUM('Model inputs'!N119,'Model inputs'!N120,'Model inputs'!N121,'Model inputs'!N122)</f>
        <v>977.15056</v>
      </c>
      <c r="O118" s="10">
        <f>SUM('Model inputs'!O119,'Model inputs'!O120,'Model inputs'!O121,'Model inputs'!O122)</f>
        <v>1277.1645376000001</v>
      </c>
      <c r="P118" s="10">
        <f>SUM('Model inputs'!P119,'Model inputs'!P120,'Model inputs'!P121,'Model inputs'!P122)</f>
        <v>1565.1779560960003</v>
      </c>
      <c r="Q118" s="10">
        <f>SUM('Model inputs'!Q119,'Model inputs'!Q120,'Model inputs'!Q121,'Model inputs'!Q122)</f>
        <v>1841.6708378521603</v>
      </c>
      <c r="R118" s="10">
        <f>SUM('Model inputs'!R119,'Model inputs'!R120,'Model inputs'!R121,'Model inputs'!R122)</f>
        <v>2107.1040043380735</v>
      </c>
      <c r="S118" s="10">
        <f>SUM('Model inputs'!S119,'Model inputs'!S120,'Model inputs'!S121,'Model inputs'!S122)</f>
        <v>2361.9198441645513</v>
      </c>
      <c r="T118" s="10">
        <f>SUM('Model inputs'!T119,'Model inputs'!T120,'Model inputs'!T121,'Model inputs'!T122)</f>
        <v>2606.5430503979687</v>
      </c>
      <c r="U118" s="10">
        <f>SUM('Model inputs'!U119,'Model inputs'!U120,'Model inputs'!U121,'Model inputs'!U122)</f>
        <v>2841.38132838205</v>
      </c>
      <c r="V118" s="10">
        <f>SUM('Model inputs'!V119,'Model inputs'!V120,'Model inputs'!V121,'Model inputs'!V122)</f>
        <v>3066.8260752467677</v>
      </c>
      <c r="W118" s="10">
        <f>SUM('Model inputs'!W119,'Model inputs'!W120,'Model inputs'!W121,'Model inputs'!W122)</f>
        <v>3283.253032236897</v>
      </c>
      <c r="X118" s="10">
        <f>SUM('Model inputs'!X119,'Model inputs'!X120,'Model inputs'!X121,'Model inputs'!X122)</f>
        <v>3491.022910947421</v>
      </c>
      <c r="Y118" s="10">
        <f>SUM('Model inputs'!Y119,'Model inputs'!Y120,'Model inputs'!Y121,'Model inputs'!Y122)</f>
        <v>3690.4819945095246</v>
      </c>
      <c r="Z118" s="10">
        <f>SUM('Model inputs'!Z119,'Model inputs'!Z120,'Model inputs'!Z121,'Model inputs'!Z122)</f>
        <v>3881.9627147291435</v>
      </c>
      <c r="AA118" s="10">
        <f>SUM('Model inputs'!AA119,'Model inputs'!AA120,'Model inputs'!AA121,'Model inputs'!AA122)</f>
        <v>4065.7842061399774</v>
      </c>
      <c r="AB118" s="10">
        <f>SUM('Model inputs'!AB119,'Model inputs'!AB120,'Model inputs'!AB121,'Model inputs'!AB122)</f>
        <v>4242.252837894379</v>
      </c>
      <c r="AC118" s="10">
        <f>SUM('Model inputs'!AC119,'Model inputs'!AC120,'Model inputs'!AC121,'Model inputs'!AC122)</f>
        <v>4411.662724378603</v>
      </c>
    </row>
    <row r="119" outlineLevel="1">
      <c r="A119" t="inlineStr" s="21">
        <is>
          <t xml:space="preserve">NW Cost of revenue &gt; Business</t>
        </is>
      </c>
      <c r="L119" s="11">
        <f>'Model inputs'!L78*'Model inputs'!B17</f>
        <v>145.60000000000002</v>
      </c>
      <c r="M119" s="11">
        <f>'Model inputs'!M78*'Model inputs'!B17</f>
        <v>285.37600000000003</v>
      </c>
      <c r="N119" s="11">
        <f>'Model inputs'!N78*'Model inputs'!B17</f>
        <v>419.5609600000001</v>
      </c>
      <c r="O119" s="11">
        <f>'Model inputs'!O78*'Model inputs'!B17</f>
        <v>548.3785216000001</v>
      </c>
      <c r="P119" s="11">
        <f>'Model inputs'!P78*'Model inputs'!B17</f>
        <v>672.0433807360002</v>
      </c>
      <c r="Q119" s="11">
        <f>'Model inputs'!Q78*'Model inputs'!B17</f>
        <v>790.7616455065602</v>
      </c>
      <c r="R119" s="11">
        <f>'Model inputs'!R78*'Model inputs'!B17</f>
        <v>904.7311796862979</v>
      </c>
      <c r="S119" s="11">
        <f>'Model inputs'!S78*'Model inputs'!B17</f>
        <v>1014.141932498846</v>
      </c>
      <c r="T119" s="11">
        <f>'Model inputs'!T78*'Model inputs'!B17</f>
        <v>1119.1762551988922</v>
      </c>
      <c r="U119" s="11">
        <f>'Model inputs'!U78*'Model inputs'!B17</f>
        <v>1220.0092049909363</v>
      </c>
      <c r="V119" s="11">
        <f>'Model inputs'!V78*'Model inputs'!B17</f>
        <v>1316.808836791299</v>
      </c>
      <c r="W119" s="11">
        <f>'Model inputs'!W78*'Model inputs'!B17</f>
        <v>1409.736483319647</v>
      </c>
      <c r="X119" s="11">
        <f>'Model inputs'!X78*'Model inputs'!B17</f>
        <v>1498.9470239868613</v>
      </c>
      <c r="Y119" s="11">
        <f>'Model inputs'!Y78*'Model inputs'!B17</f>
        <v>1584.5891430273869</v>
      </c>
      <c r="Z119" s="11">
        <f>'Model inputs'!Z78*'Model inputs'!B17</f>
        <v>1666.8055773062913</v>
      </c>
      <c r="AA119" s="11">
        <f>'Model inputs'!AA78*'Model inputs'!B17</f>
        <v>1745.7333542140395</v>
      </c>
      <c r="AB119" s="11">
        <f>'Model inputs'!AB78*'Model inputs'!B17</f>
        <v>1821.504020045478</v>
      </c>
      <c r="AC119" s="11">
        <f>'Model inputs'!AC78*'Model inputs'!B17</f>
        <v>1894.2438592436588</v>
      </c>
    </row>
    <row r="120" outlineLevel="1">
      <c r="A120" t="inlineStr" s="21">
        <is>
          <t xml:space="preserve">NW Cost of revenue &gt; Community</t>
        </is>
      </c>
      <c r="L120" s="11">
        <f>'Model inputs'!L79*'Model inputs'!B18</f>
        <v>0</v>
      </c>
      <c r="M120" s="11">
        <f>'Model inputs'!M79*'Model inputs'!B18</f>
        <v>0</v>
      </c>
      <c r="N120" s="11">
        <f>'Model inputs'!N79*'Model inputs'!B18</f>
        <v>0</v>
      </c>
      <c r="O120" s="11">
        <f>'Model inputs'!O79*'Model inputs'!B18</f>
        <v>0</v>
      </c>
      <c r="P120" s="11">
        <f>'Model inputs'!P79*'Model inputs'!B18</f>
        <v>0</v>
      </c>
      <c r="Q120" s="11">
        <f>'Model inputs'!Q79*'Model inputs'!B18</f>
        <v>0</v>
      </c>
      <c r="R120" s="11">
        <f>'Model inputs'!R79*'Model inputs'!B18</f>
        <v>0</v>
      </c>
      <c r="S120" s="11">
        <f>'Model inputs'!S79*'Model inputs'!B18</f>
        <v>0</v>
      </c>
      <c r="T120" s="11">
        <f>'Model inputs'!T79*'Model inputs'!B18</f>
        <v>0</v>
      </c>
      <c r="U120" s="11">
        <f>'Model inputs'!U79*'Model inputs'!B18</f>
        <v>0</v>
      </c>
      <c r="V120" s="11">
        <f>'Model inputs'!V79*'Model inputs'!B18</f>
        <v>0</v>
      </c>
      <c r="W120" s="11">
        <f>'Model inputs'!W79*'Model inputs'!B18</f>
        <v>0</v>
      </c>
      <c r="X120" s="11">
        <f>'Model inputs'!X79*'Model inputs'!B18</f>
        <v>0</v>
      </c>
      <c r="Y120" s="11">
        <f>'Model inputs'!Y79*'Model inputs'!B18</f>
        <v>0</v>
      </c>
      <c r="Z120" s="11">
        <f>'Model inputs'!Z79*'Model inputs'!B18</f>
        <v>0</v>
      </c>
      <c r="AA120" s="11">
        <f>'Model inputs'!AA79*'Model inputs'!B18</f>
        <v>0</v>
      </c>
      <c r="AB120" s="11">
        <f>'Model inputs'!AB79*'Model inputs'!B18</f>
        <v>0</v>
      </c>
      <c r="AC120" s="11">
        <f>'Model inputs'!AC79*'Model inputs'!B18</f>
        <v>0</v>
      </c>
    </row>
    <row r="121" outlineLevel="1">
      <c r="A121" t="inlineStr" s="21">
        <is>
          <t xml:space="preserve">NW Cost of revenue &gt; Starter</t>
        </is>
      </c>
      <c r="L121" s="11">
        <f>'Model inputs'!L80*'Model inputs'!B19</f>
        <v>45.10000000000001</v>
      </c>
      <c r="M121" s="11">
        <f>'Model inputs'!M80*'Model inputs'!B19</f>
        <v>88.396</v>
      </c>
      <c r="N121" s="11">
        <f>'Model inputs'!N80*'Model inputs'!B19</f>
        <v>129.96016000000003</v>
      </c>
      <c r="O121" s="11">
        <f>'Model inputs'!O80*'Model inputs'!B19</f>
        <v>169.86175360000001</v>
      </c>
      <c r="P121" s="11">
        <f>'Model inputs'!P80*'Model inputs'!B19</f>
        <v>208.16728345600004</v>
      </c>
      <c r="Q121" s="11">
        <f>'Model inputs'!Q80*'Model inputs'!B19</f>
        <v>244.94059211776002</v>
      </c>
      <c r="R121" s="11">
        <f>'Model inputs'!R80*'Model inputs'!B19</f>
        <v>280.2429684330496</v>
      </c>
      <c r="S121" s="11">
        <f>'Model inputs'!S80*'Model inputs'!B19</f>
        <v>314.13324969572767</v>
      </c>
      <c r="T121" s="11">
        <f>'Model inputs'!T80*'Model inputs'!B19</f>
        <v>346.66791970789853</v>
      </c>
      <c r="U121" s="11">
        <f>'Model inputs'!U80*'Model inputs'!B19</f>
        <v>377.9012029195826</v>
      </c>
      <c r="V121" s="11">
        <f>'Model inputs'!V80*'Model inputs'!B19</f>
        <v>407.88515480279926</v>
      </c>
      <c r="W121" s="11">
        <f>'Model inputs'!W80*'Model inputs'!B19</f>
        <v>436.6697486106873</v>
      </c>
      <c r="X121" s="11">
        <f>'Model inputs'!X80*'Model inputs'!B19</f>
        <v>464.3029586662598</v>
      </c>
      <c r="Y121" s="11">
        <f>'Model inputs'!Y80*'Model inputs'!B19</f>
        <v>490.8308403196094</v>
      </c>
      <c r="Z121" s="11">
        <f>'Model inputs'!Z80*'Model inputs'!B19</f>
        <v>516.297606706825</v>
      </c>
      <c r="AA121" s="11">
        <f>'Model inputs'!AA80*'Model inputs'!B19</f>
        <v>540.745702438552</v>
      </c>
      <c r="AB121" s="11">
        <f>'Model inputs'!AB80*'Model inputs'!B19</f>
        <v>564.2158743410099</v>
      </c>
      <c r="AC121" s="11">
        <f>'Model inputs'!AC80*'Model inputs'!B19</f>
        <v>586.7472393673696</v>
      </c>
    </row>
    <row r="122" outlineLevel="1">
      <c r="A122" t="inlineStr" s="21">
        <is>
          <t xml:space="preserve">NW Cost of revenue &gt; Team</t>
        </is>
      </c>
      <c r="L122" s="11">
        <f>'Model inputs'!L81*'Model inputs'!B20</f>
        <v>148.4</v>
      </c>
      <c r="M122" s="11">
        <f>'Model inputs'!M81*'Model inputs'!B20</f>
        <v>290.864</v>
      </c>
      <c r="N122" s="11">
        <f>'Model inputs'!N81*'Model inputs'!B20</f>
        <v>427.62944</v>
      </c>
      <c r="O122" s="11">
        <f>'Model inputs'!O81*'Model inputs'!B20</f>
        <v>558.9242624</v>
      </c>
      <c r="P122" s="11">
        <f>'Model inputs'!P81*'Model inputs'!B20</f>
        <v>684.9672919039999</v>
      </c>
      <c r="Q122" s="11">
        <f>'Model inputs'!Q81*'Model inputs'!B20</f>
        <v>805.9686002278399</v>
      </c>
      <c r="R122" s="11">
        <f>'Model inputs'!R81*'Model inputs'!B20</f>
        <v>922.1298562187263</v>
      </c>
      <c r="S122" s="11">
        <f>'Model inputs'!S81*'Model inputs'!B20</f>
        <v>1033.6446619699773</v>
      </c>
      <c r="T122" s="11">
        <f>'Model inputs'!T81*'Model inputs'!B20</f>
        <v>1140.6988754911781</v>
      </c>
      <c r="U122" s="11">
        <f>'Model inputs'!U81*'Model inputs'!B20</f>
        <v>1243.4709204715311</v>
      </c>
      <c r="V122" s="11">
        <f>'Model inputs'!V81*'Model inputs'!B20</f>
        <v>1342.1320836526697</v>
      </c>
      <c r="W122" s="11">
        <f>'Model inputs'!W81*'Model inputs'!B20</f>
        <v>1436.8468003065627</v>
      </c>
      <c r="X122" s="11">
        <f>'Model inputs'!X81*'Model inputs'!B20</f>
        <v>1527.7729282943003</v>
      </c>
      <c r="Y122" s="11">
        <f>'Model inputs'!Y81*'Model inputs'!B20</f>
        <v>1615.0620111625283</v>
      </c>
      <c r="Z122" s="11">
        <f>'Model inputs'!Z81*'Model inputs'!B20</f>
        <v>1698.8595307160272</v>
      </c>
      <c r="AA122" s="11">
        <f>'Model inputs'!AA81*'Model inputs'!B20</f>
        <v>1779.305149487386</v>
      </c>
      <c r="AB122" s="11">
        <f>'Model inputs'!AB81*'Model inputs'!B20</f>
        <v>1856.5329435078906</v>
      </c>
      <c r="AC122" s="11">
        <f>'Model inputs'!AC81*'Model inputs'!B20</f>
        <v>1930.671625767575</v>
      </c>
    </row>
    <row r="123">
      <c r="A123" t="inlineStr" s="20">
        <is>
          <t xml:space="preserve">NW Overage revenue</t>
        </is>
      </c>
      <c r="L123" s="10">
        <f>SUM('Model inputs'!L124,'Model inputs'!L125,'Model inputs'!L126,'Model inputs'!L127)</f>
        <v>0</v>
      </c>
      <c r="M123" s="10">
        <f>SUM('Model inputs'!M124,'Model inputs'!M125,'Model inputs'!M126,'Model inputs'!M127)</f>
        <v>0</v>
      </c>
      <c r="N123" s="10">
        <f>SUM('Model inputs'!N124,'Model inputs'!N125,'Model inputs'!N126,'Model inputs'!N127)</f>
        <v>0</v>
      </c>
      <c r="O123" s="10">
        <f>SUM('Model inputs'!O124,'Model inputs'!O125,'Model inputs'!O126,'Model inputs'!O127)</f>
        <v>0</v>
      </c>
      <c r="P123" s="10">
        <f>SUM('Model inputs'!P124,'Model inputs'!P125,'Model inputs'!P126,'Model inputs'!P127)</f>
        <v>0</v>
      </c>
      <c r="Q123" s="10">
        <f>SUM('Model inputs'!Q124,'Model inputs'!Q125,'Model inputs'!Q126,'Model inputs'!Q127)</f>
        <v>0</v>
      </c>
      <c r="R123" s="10">
        <f>SUM('Model inputs'!R124,'Model inputs'!R125,'Model inputs'!R126,'Model inputs'!R127)</f>
        <v>0</v>
      </c>
      <c r="S123" s="10">
        <f>SUM('Model inputs'!S124,'Model inputs'!S125,'Model inputs'!S126,'Model inputs'!S127)</f>
        <v>0</v>
      </c>
      <c r="T123" s="10">
        <f>SUM('Model inputs'!T124,'Model inputs'!T125,'Model inputs'!T126,'Model inputs'!T127)</f>
        <v>0</v>
      </c>
      <c r="U123" s="10">
        <f>SUM('Model inputs'!U124,'Model inputs'!U125,'Model inputs'!U126,'Model inputs'!U127)</f>
        <v>0</v>
      </c>
      <c r="V123" s="10">
        <f>SUM('Model inputs'!V124,'Model inputs'!V125,'Model inputs'!V126,'Model inputs'!V127)</f>
        <v>0</v>
      </c>
      <c r="W123" s="10">
        <f>SUM('Model inputs'!W124,'Model inputs'!W125,'Model inputs'!W126,'Model inputs'!W127)</f>
        <v>0</v>
      </c>
      <c r="X123" s="10">
        <f>SUM('Model inputs'!X124,'Model inputs'!X125,'Model inputs'!X126,'Model inputs'!X127)</f>
        <v>0</v>
      </c>
      <c r="Y123" s="10">
        <f>SUM('Model inputs'!Y124,'Model inputs'!Y125,'Model inputs'!Y126,'Model inputs'!Y127)</f>
        <v>0</v>
      </c>
      <c r="Z123" s="10">
        <f>SUM('Model inputs'!Z124,'Model inputs'!Z125,'Model inputs'!Z126,'Model inputs'!Z127)</f>
        <v>0</v>
      </c>
      <c r="AA123" s="10">
        <f>SUM('Model inputs'!AA124,'Model inputs'!AA125,'Model inputs'!AA126,'Model inputs'!AA127)</f>
        <v>0</v>
      </c>
      <c r="AB123" s="10">
        <f>SUM('Model inputs'!AB124,'Model inputs'!AB125,'Model inputs'!AB126,'Model inputs'!AB127)</f>
        <v>0</v>
      </c>
      <c r="AC123" s="10">
        <f>SUM('Model inputs'!AC124,'Model inputs'!AC125,'Model inputs'!AC126,'Model inputs'!AC127)</f>
        <v>0</v>
      </c>
    </row>
    <row r="124" outlineLevel="1">
      <c r="A124" t="inlineStr" s="21">
        <is>
          <t xml:space="preserve">NW Overage revenue &gt; Business</t>
        </is>
      </c>
      <c r="L124" s="11">
        <f>'Model inputs'!L78*'Model inputs'!B73</f>
        <v>0</v>
      </c>
      <c r="M124" s="11">
        <f>'Model inputs'!M78*'Model inputs'!B73</f>
        <v>0</v>
      </c>
      <c r="N124" s="11">
        <f>'Model inputs'!N78*'Model inputs'!B73</f>
        <v>0</v>
      </c>
      <c r="O124" s="11">
        <f>'Model inputs'!O78*'Model inputs'!B73</f>
        <v>0</v>
      </c>
      <c r="P124" s="11">
        <f>'Model inputs'!P78*'Model inputs'!B73</f>
        <v>0</v>
      </c>
      <c r="Q124" s="11">
        <f>'Model inputs'!Q78*'Model inputs'!B73</f>
        <v>0</v>
      </c>
      <c r="R124" s="11">
        <f>'Model inputs'!R78*'Model inputs'!B73</f>
        <v>0</v>
      </c>
      <c r="S124" s="11">
        <f>'Model inputs'!S78*'Model inputs'!B73</f>
        <v>0</v>
      </c>
      <c r="T124" s="11">
        <f>'Model inputs'!T78*'Model inputs'!B73</f>
        <v>0</v>
      </c>
      <c r="U124" s="11">
        <f>'Model inputs'!U78*'Model inputs'!B73</f>
        <v>0</v>
      </c>
      <c r="V124" s="11">
        <f>'Model inputs'!V78*'Model inputs'!B73</f>
        <v>0</v>
      </c>
      <c r="W124" s="11">
        <f>'Model inputs'!W78*'Model inputs'!B73</f>
        <v>0</v>
      </c>
      <c r="X124" s="11">
        <f>'Model inputs'!X78*'Model inputs'!B73</f>
        <v>0</v>
      </c>
      <c r="Y124" s="11">
        <f>'Model inputs'!Y78*'Model inputs'!B73</f>
        <v>0</v>
      </c>
      <c r="Z124" s="11">
        <f>'Model inputs'!Z78*'Model inputs'!B73</f>
        <v>0</v>
      </c>
      <c r="AA124" s="11">
        <f>'Model inputs'!AA78*'Model inputs'!B73</f>
        <v>0</v>
      </c>
      <c r="AB124" s="11">
        <f>'Model inputs'!AB78*'Model inputs'!B73</f>
        <v>0</v>
      </c>
      <c r="AC124" s="11">
        <f>'Model inputs'!AC78*'Model inputs'!B73</f>
        <v>0</v>
      </c>
    </row>
    <row r="125" outlineLevel="1">
      <c r="A125" t="inlineStr" s="21">
        <is>
          <t xml:space="preserve">NW Overage revenue &gt; Community</t>
        </is>
      </c>
      <c r="L125" s="11">
        <f>'Model inputs'!L79*'Model inputs'!B74</f>
        <v>0</v>
      </c>
      <c r="M125" s="11">
        <f>'Model inputs'!M79*'Model inputs'!B74</f>
        <v>0</v>
      </c>
      <c r="N125" s="11">
        <f>'Model inputs'!N79*'Model inputs'!B74</f>
        <v>0</v>
      </c>
      <c r="O125" s="11">
        <f>'Model inputs'!O79*'Model inputs'!B74</f>
        <v>0</v>
      </c>
      <c r="P125" s="11">
        <f>'Model inputs'!P79*'Model inputs'!B74</f>
        <v>0</v>
      </c>
      <c r="Q125" s="11">
        <f>'Model inputs'!Q79*'Model inputs'!B74</f>
        <v>0</v>
      </c>
      <c r="R125" s="11">
        <f>'Model inputs'!R79*'Model inputs'!B74</f>
        <v>0</v>
      </c>
      <c r="S125" s="11">
        <f>'Model inputs'!S79*'Model inputs'!B74</f>
        <v>0</v>
      </c>
      <c r="T125" s="11">
        <f>'Model inputs'!T79*'Model inputs'!B74</f>
        <v>0</v>
      </c>
      <c r="U125" s="11">
        <f>'Model inputs'!U79*'Model inputs'!B74</f>
        <v>0</v>
      </c>
      <c r="V125" s="11">
        <f>'Model inputs'!V79*'Model inputs'!B74</f>
        <v>0</v>
      </c>
      <c r="W125" s="11">
        <f>'Model inputs'!W79*'Model inputs'!B74</f>
        <v>0</v>
      </c>
      <c r="X125" s="11">
        <f>'Model inputs'!X79*'Model inputs'!B74</f>
        <v>0</v>
      </c>
      <c r="Y125" s="11">
        <f>'Model inputs'!Y79*'Model inputs'!B74</f>
        <v>0</v>
      </c>
      <c r="Z125" s="11">
        <f>'Model inputs'!Z79*'Model inputs'!B74</f>
        <v>0</v>
      </c>
      <c r="AA125" s="11">
        <f>'Model inputs'!AA79*'Model inputs'!B74</f>
        <v>0</v>
      </c>
      <c r="AB125" s="11">
        <f>'Model inputs'!AB79*'Model inputs'!B74</f>
        <v>0</v>
      </c>
      <c r="AC125" s="11">
        <f>'Model inputs'!AC79*'Model inputs'!B74</f>
        <v>0</v>
      </c>
    </row>
    <row r="126" outlineLevel="1">
      <c r="A126" t="inlineStr" s="21">
        <is>
          <t xml:space="preserve">NW Overage revenue &gt; Starter</t>
        </is>
      </c>
      <c r="L126" s="11">
        <f>'Model inputs'!L80*'Model inputs'!B75</f>
        <v>0</v>
      </c>
      <c r="M126" s="11">
        <f>'Model inputs'!M80*'Model inputs'!B75</f>
        <v>0</v>
      </c>
      <c r="N126" s="11">
        <f>'Model inputs'!N80*'Model inputs'!B75</f>
        <v>0</v>
      </c>
      <c r="O126" s="11">
        <f>'Model inputs'!O80*'Model inputs'!B75</f>
        <v>0</v>
      </c>
      <c r="P126" s="11">
        <f>'Model inputs'!P80*'Model inputs'!B75</f>
        <v>0</v>
      </c>
      <c r="Q126" s="11">
        <f>'Model inputs'!Q80*'Model inputs'!B75</f>
        <v>0</v>
      </c>
      <c r="R126" s="11">
        <f>'Model inputs'!R80*'Model inputs'!B75</f>
        <v>0</v>
      </c>
      <c r="S126" s="11">
        <f>'Model inputs'!S80*'Model inputs'!B75</f>
        <v>0</v>
      </c>
      <c r="T126" s="11">
        <f>'Model inputs'!T80*'Model inputs'!B75</f>
        <v>0</v>
      </c>
      <c r="U126" s="11">
        <f>'Model inputs'!U80*'Model inputs'!B75</f>
        <v>0</v>
      </c>
      <c r="V126" s="11">
        <f>'Model inputs'!V80*'Model inputs'!B75</f>
        <v>0</v>
      </c>
      <c r="W126" s="11">
        <f>'Model inputs'!W80*'Model inputs'!B75</f>
        <v>0</v>
      </c>
      <c r="X126" s="11">
        <f>'Model inputs'!X80*'Model inputs'!B75</f>
        <v>0</v>
      </c>
      <c r="Y126" s="11">
        <f>'Model inputs'!Y80*'Model inputs'!B75</f>
        <v>0</v>
      </c>
      <c r="Z126" s="11">
        <f>'Model inputs'!Z80*'Model inputs'!B75</f>
        <v>0</v>
      </c>
      <c r="AA126" s="11">
        <f>'Model inputs'!AA80*'Model inputs'!B75</f>
        <v>0</v>
      </c>
      <c r="AB126" s="11">
        <f>'Model inputs'!AB80*'Model inputs'!B75</f>
        <v>0</v>
      </c>
      <c r="AC126" s="11">
        <f>'Model inputs'!AC80*'Model inputs'!B75</f>
        <v>0</v>
      </c>
    </row>
    <row r="127" outlineLevel="1">
      <c r="A127" t="inlineStr" s="21">
        <is>
          <t xml:space="preserve">NW Overage revenue &gt; Team</t>
        </is>
      </c>
      <c r="L127" s="11">
        <f>'Model inputs'!L81*'Model inputs'!B76</f>
        <v>0</v>
      </c>
      <c r="M127" s="11">
        <f>'Model inputs'!M81*'Model inputs'!B76</f>
        <v>0</v>
      </c>
      <c r="N127" s="11">
        <f>'Model inputs'!N81*'Model inputs'!B76</f>
        <v>0</v>
      </c>
      <c r="O127" s="11">
        <f>'Model inputs'!O81*'Model inputs'!B76</f>
        <v>0</v>
      </c>
      <c r="P127" s="11">
        <f>'Model inputs'!P81*'Model inputs'!B76</f>
        <v>0</v>
      </c>
      <c r="Q127" s="11">
        <f>'Model inputs'!Q81*'Model inputs'!B76</f>
        <v>0</v>
      </c>
      <c r="R127" s="11">
        <f>'Model inputs'!R81*'Model inputs'!B76</f>
        <v>0</v>
      </c>
      <c r="S127" s="11">
        <f>'Model inputs'!S81*'Model inputs'!B76</f>
        <v>0</v>
      </c>
      <c r="T127" s="11">
        <f>'Model inputs'!T81*'Model inputs'!B76</f>
        <v>0</v>
      </c>
      <c r="U127" s="11">
        <f>'Model inputs'!U81*'Model inputs'!B76</f>
        <v>0</v>
      </c>
      <c r="V127" s="11">
        <f>'Model inputs'!V81*'Model inputs'!B76</f>
        <v>0</v>
      </c>
      <c r="W127" s="11">
        <f>'Model inputs'!W81*'Model inputs'!B76</f>
        <v>0</v>
      </c>
      <c r="X127" s="11">
        <f>'Model inputs'!X81*'Model inputs'!B76</f>
        <v>0</v>
      </c>
      <c r="Y127" s="11">
        <f>'Model inputs'!Y81*'Model inputs'!B76</f>
        <v>0</v>
      </c>
      <c r="Z127" s="11">
        <f>'Model inputs'!Z81*'Model inputs'!B76</f>
        <v>0</v>
      </c>
      <c r="AA127" s="11">
        <f>'Model inputs'!AA81*'Model inputs'!B76</f>
        <v>0</v>
      </c>
      <c r="AB127" s="11">
        <f>'Model inputs'!AB81*'Model inputs'!B76</f>
        <v>0</v>
      </c>
      <c r="AC127" s="11">
        <f>'Model inputs'!AC81*'Model inputs'!B76</f>
        <v>0</v>
      </c>
    </row>
    <row r="128">
      <c r="A128" t="inlineStr" s="20">
        <is>
          <t xml:space="preserve">NW Model delivery cost</t>
        </is>
      </c>
      <c r="L128" s="10">
        <f>SUM('Model inputs'!L129,'Model inputs'!L130,'Model inputs'!L131,'Model inputs'!L132)</f>
        <v>139.2</v>
      </c>
      <c r="M128" s="10">
        <f>SUM('Model inputs'!M129,'Model inputs'!M130,'Model inputs'!M131,'Model inputs'!M132)</f>
        <v>272.832</v>
      </c>
      <c r="N128" s="10">
        <f>SUM('Model inputs'!N129,'Model inputs'!N130,'Model inputs'!N131,'Model inputs'!N132)</f>
        <v>401.11872</v>
      </c>
      <c r="O128" s="10">
        <f>SUM('Model inputs'!O129,'Model inputs'!O130,'Model inputs'!O131,'Model inputs'!O132)</f>
        <v>524.2739712</v>
      </c>
      <c r="P128" s="10">
        <f>SUM('Model inputs'!P129,'Model inputs'!P130,'Model inputs'!P131,'Model inputs'!P132)</f>
        <v>642.503012352</v>
      </c>
      <c r="Q128" s="10">
        <f>SUM('Model inputs'!Q129,'Model inputs'!Q130,'Model inputs'!Q131,'Model inputs'!Q132)</f>
        <v>756.0028918579201</v>
      </c>
      <c r="R128" s="10">
        <f>SUM('Model inputs'!R129,'Model inputs'!R130,'Model inputs'!R131,'Model inputs'!R132)</f>
        <v>864.9627761836032</v>
      </c>
      <c r="S128" s="10">
        <f>SUM('Model inputs'!S129,'Model inputs'!S130,'Model inputs'!S131,'Model inputs'!S132)</f>
        <v>969.5642651362591</v>
      </c>
      <c r="T128" s="10">
        <f>SUM('Model inputs'!T129,'Model inputs'!T130,'Model inputs'!T131,'Model inputs'!T132)</f>
        <v>1069.981694530809</v>
      </c>
      <c r="U128" s="10">
        <f>SUM('Model inputs'!U129,'Model inputs'!U130,'Model inputs'!U131,'Model inputs'!U132)</f>
        <v>1166.3824267495763</v>
      </c>
      <c r="V128" s="10">
        <f>SUM('Model inputs'!V129,'Model inputs'!V130,'Model inputs'!V131,'Model inputs'!V132)</f>
        <v>1258.9271296795932</v>
      </c>
      <c r="W128" s="10">
        <f>SUM('Model inputs'!W129,'Model inputs'!W130,'Model inputs'!W131,'Model inputs'!W132)</f>
        <v>1347.7700444924094</v>
      </c>
      <c r="X128" s="10">
        <f>SUM('Model inputs'!X129,'Model inputs'!X130,'Model inputs'!X131,'Model inputs'!X132)</f>
        <v>1433.059242712713</v>
      </c>
      <c r="Y128" s="10">
        <f>SUM('Model inputs'!Y129,'Model inputs'!Y130,'Model inputs'!Y131,'Model inputs'!Y132)</f>
        <v>1514.9368730042047</v>
      </c>
      <c r="Z128" s="10">
        <f>SUM('Model inputs'!Z129,'Model inputs'!Z130,'Model inputs'!Z131,'Model inputs'!Z132)</f>
        <v>1593.5393980840363</v>
      </c>
      <c r="AA128" s="10">
        <f>SUM('Model inputs'!AA129,'Model inputs'!AA130,'Model inputs'!AA131,'Model inputs'!AA132)</f>
        <v>1668.9978221606748</v>
      </c>
      <c r="AB128" s="10">
        <f>SUM('Model inputs'!AB129,'Model inputs'!AB130,'Model inputs'!AB131,'Model inputs'!AB132)</f>
        <v>1741.4379092742479</v>
      </c>
      <c r="AC128" s="10">
        <f>SUM('Model inputs'!AC129,'Model inputs'!AC130,'Model inputs'!AC131,'Model inputs'!AC132)</f>
        <v>1810.9803929032778</v>
      </c>
    </row>
    <row r="129" outlineLevel="1">
      <c r="A129" t="inlineStr" s="21">
        <is>
          <t xml:space="preserve">NW Model delivery cost &gt; Business</t>
        </is>
      </c>
      <c r="L129" s="11">
        <f>'Model inputs'!L78*'Model inputs'!B55</f>
        <v>72</v>
      </c>
      <c r="M129" s="11">
        <f>'Model inputs'!M78*'Model inputs'!B55</f>
        <v>141.12</v>
      </c>
      <c r="N129" s="11">
        <f>'Model inputs'!N78*'Model inputs'!B55</f>
        <v>207.4752</v>
      </c>
      <c r="O129" s="11">
        <f>'Model inputs'!O78*'Model inputs'!B55</f>
        <v>271.176192</v>
      </c>
      <c r="P129" s="11">
        <f>'Model inputs'!P78*'Model inputs'!B55</f>
        <v>332.32914432000007</v>
      </c>
      <c r="Q129" s="11">
        <f>'Model inputs'!Q78*'Model inputs'!B55</f>
        <v>391.03597854720005</v>
      </c>
      <c r="R129" s="11">
        <f>'Model inputs'!R78*'Model inputs'!B55</f>
        <v>447.39453940531206</v>
      </c>
      <c r="S129" s="11">
        <f>'Model inputs'!S78*'Model inputs'!B55</f>
        <v>501.4987578290996</v>
      </c>
      <c r="T129" s="11">
        <f>'Model inputs'!T78*'Model inputs'!B55</f>
        <v>553.4388075159357</v>
      </c>
      <c r="U129" s="11">
        <f>'Model inputs'!U78*'Model inputs'!B55</f>
        <v>603.301255215298</v>
      </c>
      <c r="V129" s="11">
        <f>'Model inputs'!V78*'Model inputs'!B55</f>
        <v>651.1692050066862</v>
      </c>
      <c r="W129" s="11">
        <f>'Model inputs'!W78*'Model inputs'!B55</f>
        <v>697.1224368064187</v>
      </c>
      <c r="X129" s="11">
        <f>'Model inputs'!X78*'Model inputs'!B55</f>
        <v>741.237539334162</v>
      </c>
      <c r="Y129" s="11">
        <f>'Model inputs'!Y78*'Model inputs'!B55</f>
        <v>783.5880377607955</v>
      </c>
      <c r="Z129" s="11">
        <f>'Model inputs'!Z78*'Model inputs'!B55</f>
        <v>824.2445162503636</v>
      </c>
      <c r="AA129" s="11">
        <f>'Model inputs'!AA78*'Model inputs'!B55</f>
        <v>863.2747356003491</v>
      </c>
      <c r="AB129" s="11">
        <f>'Model inputs'!AB78*'Model inputs'!B55</f>
        <v>900.7437461763351</v>
      </c>
      <c r="AC129" s="11">
        <f>'Model inputs'!AC78*'Model inputs'!B55</f>
        <v>936.7139963292816</v>
      </c>
    </row>
    <row r="130" outlineLevel="1">
      <c r="A130" t="inlineStr" s="21">
        <is>
          <t xml:space="preserve">NW Model delivery cost &gt; Community</t>
        </is>
      </c>
      <c r="L130" s="11">
        <f>'Model inputs'!L79*'Model inputs'!B56</f>
        <v>0</v>
      </c>
      <c r="M130" s="11">
        <f>'Model inputs'!M79*'Model inputs'!B56</f>
        <v>0</v>
      </c>
      <c r="N130" s="11">
        <f>'Model inputs'!N79*'Model inputs'!B56</f>
        <v>0</v>
      </c>
      <c r="O130" s="11">
        <f>'Model inputs'!O79*'Model inputs'!B56</f>
        <v>0</v>
      </c>
      <c r="P130" s="11">
        <f>'Model inputs'!P79*'Model inputs'!B56</f>
        <v>0</v>
      </c>
      <c r="Q130" s="11">
        <f>'Model inputs'!Q79*'Model inputs'!B56</f>
        <v>0</v>
      </c>
      <c r="R130" s="11">
        <f>'Model inputs'!R79*'Model inputs'!B56</f>
        <v>0</v>
      </c>
      <c r="S130" s="11">
        <f>'Model inputs'!S79*'Model inputs'!B56</f>
        <v>0</v>
      </c>
      <c r="T130" s="11">
        <f>'Model inputs'!T79*'Model inputs'!B56</f>
        <v>0</v>
      </c>
      <c r="U130" s="11">
        <f>'Model inputs'!U79*'Model inputs'!B56</f>
        <v>0</v>
      </c>
      <c r="V130" s="11">
        <f>'Model inputs'!V79*'Model inputs'!B56</f>
        <v>0</v>
      </c>
      <c r="W130" s="11">
        <f>'Model inputs'!W79*'Model inputs'!B56</f>
        <v>0</v>
      </c>
      <c r="X130" s="11">
        <f>'Model inputs'!X79*'Model inputs'!B56</f>
        <v>0</v>
      </c>
      <c r="Y130" s="11">
        <f>'Model inputs'!Y79*'Model inputs'!B56</f>
        <v>0</v>
      </c>
      <c r="Z130" s="11">
        <f>'Model inputs'!Z79*'Model inputs'!B56</f>
        <v>0</v>
      </c>
      <c r="AA130" s="11">
        <f>'Model inputs'!AA79*'Model inputs'!B56</f>
        <v>0</v>
      </c>
      <c r="AB130" s="11">
        <f>'Model inputs'!AB79*'Model inputs'!B56</f>
        <v>0</v>
      </c>
      <c r="AC130" s="11">
        <f>'Model inputs'!AC79*'Model inputs'!B56</f>
        <v>0</v>
      </c>
    </row>
    <row r="131" outlineLevel="1">
      <c r="A131" t="inlineStr" s="21">
        <is>
          <t xml:space="preserve">NW Model delivery cost &gt; Starter</t>
        </is>
      </c>
      <c r="L131" s="11">
        <f>'Model inputs'!L80*'Model inputs'!B57</f>
        <v>0</v>
      </c>
      <c r="M131" s="11">
        <f>'Model inputs'!M80*'Model inputs'!B57</f>
        <v>0</v>
      </c>
      <c r="N131" s="11">
        <f>'Model inputs'!N80*'Model inputs'!B57</f>
        <v>0</v>
      </c>
      <c r="O131" s="11">
        <f>'Model inputs'!O80*'Model inputs'!B57</f>
        <v>0</v>
      </c>
      <c r="P131" s="11">
        <f>'Model inputs'!P80*'Model inputs'!B57</f>
        <v>0</v>
      </c>
      <c r="Q131" s="11">
        <f>'Model inputs'!Q80*'Model inputs'!B57</f>
        <v>0</v>
      </c>
      <c r="R131" s="11">
        <f>'Model inputs'!R80*'Model inputs'!B57</f>
        <v>0</v>
      </c>
      <c r="S131" s="11">
        <f>'Model inputs'!S80*'Model inputs'!B57</f>
        <v>0</v>
      </c>
      <c r="T131" s="11">
        <f>'Model inputs'!T80*'Model inputs'!B57</f>
        <v>0</v>
      </c>
      <c r="U131" s="11">
        <f>'Model inputs'!U80*'Model inputs'!B57</f>
        <v>0</v>
      </c>
      <c r="V131" s="11">
        <f>'Model inputs'!V80*'Model inputs'!B57</f>
        <v>0</v>
      </c>
      <c r="W131" s="11">
        <f>'Model inputs'!W80*'Model inputs'!B57</f>
        <v>0</v>
      </c>
      <c r="X131" s="11">
        <f>'Model inputs'!X80*'Model inputs'!B57</f>
        <v>0</v>
      </c>
      <c r="Y131" s="11">
        <f>'Model inputs'!Y80*'Model inputs'!B57</f>
        <v>0</v>
      </c>
      <c r="Z131" s="11">
        <f>'Model inputs'!Z80*'Model inputs'!B57</f>
        <v>0</v>
      </c>
      <c r="AA131" s="11">
        <f>'Model inputs'!AA80*'Model inputs'!B57</f>
        <v>0</v>
      </c>
      <c r="AB131" s="11">
        <f>'Model inputs'!AB80*'Model inputs'!B57</f>
        <v>0</v>
      </c>
      <c r="AC131" s="11">
        <f>'Model inputs'!AC80*'Model inputs'!B57</f>
        <v>0</v>
      </c>
    </row>
    <row r="132" outlineLevel="1">
      <c r="A132" t="inlineStr" s="21">
        <is>
          <t xml:space="preserve">NW Model delivery cost &gt; Team</t>
        </is>
      </c>
      <c r="L132" s="11">
        <f>'Model inputs'!L81*'Model inputs'!B58</f>
        <v>67.2</v>
      </c>
      <c r="M132" s="11">
        <f>'Model inputs'!M81*'Model inputs'!B58</f>
        <v>131.712</v>
      </c>
      <c r="N132" s="11">
        <f>'Model inputs'!N81*'Model inputs'!B58</f>
        <v>193.64352</v>
      </c>
      <c r="O132" s="11">
        <f>'Model inputs'!O81*'Model inputs'!B58</f>
        <v>253.0977792</v>
      </c>
      <c r="P132" s="11">
        <f>'Model inputs'!P81*'Model inputs'!B58</f>
        <v>310.1738680319999</v>
      </c>
      <c r="Q132" s="11">
        <f>'Model inputs'!Q81*'Model inputs'!B58</f>
        <v>364.96691331072</v>
      </c>
      <c r="R132" s="11">
        <f>'Model inputs'!R81*'Model inputs'!B58</f>
        <v>417.5682367782912</v>
      </c>
      <c r="S132" s="11">
        <f>'Model inputs'!S81*'Model inputs'!B58</f>
        <v>468.0655073071595</v>
      </c>
      <c r="T132" s="11">
        <f>'Model inputs'!T81*'Model inputs'!B58</f>
        <v>516.5428870148731</v>
      </c>
      <c r="U132" s="11">
        <f>'Model inputs'!U81*'Model inputs'!B58</f>
        <v>563.0811715342783</v>
      </c>
      <c r="V132" s="11">
        <f>'Model inputs'!V81*'Model inputs'!B58</f>
        <v>607.757924672907</v>
      </c>
      <c r="W132" s="11">
        <f>'Model inputs'!W81*'Model inputs'!B58</f>
        <v>650.6476076859907</v>
      </c>
      <c r="X132" s="11">
        <f>'Model inputs'!X81*'Model inputs'!B58</f>
        <v>691.8217033785511</v>
      </c>
      <c r="Y132" s="11">
        <f>'Model inputs'!Y81*'Model inputs'!B58</f>
        <v>731.3488352434091</v>
      </c>
      <c r="Z132" s="11">
        <f>'Model inputs'!Z81*'Model inputs'!B58</f>
        <v>769.2948818336727</v>
      </c>
      <c r="AA132" s="11">
        <f>'Model inputs'!AA81*'Model inputs'!B58</f>
        <v>805.7230865603258</v>
      </c>
      <c r="AB132" s="11">
        <f>'Model inputs'!AB81*'Model inputs'!B58</f>
        <v>840.6941630979127</v>
      </c>
      <c r="AC132" s="11">
        <f>'Model inputs'!AC81*'Model inputs'!B58</f>
        <v>874.2663965739963</v>
      </c>
    </row>
    <row r="133">
      <c r="A133" t="inlineStr" s="20">
        <is>
          <t xml:space="preserve">NW Infrastructure delivery cost</t>
        </is>
      </c>
      <c r="L133" s="10">
        <f>SUM('Model inputs'!L134,'Model inputs'!L135,'Model inputs'!L136,'Model inputs'!L137)</f>
        <v>92.4</v>
      </c>
      <c r="M133" s="10">
        <f>SUM('Model inputs'!M134,'Model inputs'!M135,'Model inputs'!M136,'Model inputs'!M137)</f>
        <v>181.104</v>
      </c>
      <c r="N133" s="10">
        <f>SUM('Model inputs'!N134,'Model inputs'!N135,'Model inputs'!N136,'Model inputs'!N137)</f>
        <v>266.25984000000005</v>
      </c>
      <c r="O133" s="10">
        <f>SUM('Model inputs'!O134,'Model inputs'!O135,'Model inputs'!O136,'Model inputs'!O137)</f>
        <v>348.0094464</v>
      </c>
      <c r="P133" s="10">
        <f>SUM('Model inputs'!P134,'Model inputs'!P135,'Model inputs'!P136,'Model inputs'!P137)</f>
        <v>426.489068544</v>
      </c>
      <c r="Q133" s="10">
        <f>SUM('Model inputs'!Q134,'Model inputs'!Q135,'Model inputs'!Q136,'Model inputs'!Q137)</f>
        <v>501.8295058022401</v>
      </c>
      <c r="R133" s="10">
        <f>SUM('Model inputs'!R134,'Model inputs'!R135,'Model inputs'!R136,'Model inputs'!R137)</f>
        <v>574.1563255701506</v>
      </c>
      <c r="S133" s="10">
        <f>SUM('Model inputs'!S134,'Model inputs'!S135,'Model inputs'!S136,'Model inputs'!S137)</f>
        <v>643.5900725473444</v>
      </c>
      <c r="T133" s="10">
        <f>SUM('Model inputs'!T134,'Model inputs'!T135,'Model inputs'!T136,'Model inputs'!T137)</f>
        <v>710.2464696454507</v>
      </c>
      <c r="U133" s="10">
        <f>SUM('Model inputs'!U134,'Model inputs'!U135,'Model inputs'!U136,'Model inputs'!U137)</f>
        <v>774.2366108596327</v>
      </c>
      <c r="V133" s="10">
        <f>SUM('Model inputs'!V134,'Model inputs'!V135,'Model inputs'!V136,'Model inputs'!V137)</f>
        <v>835.6671464252473</v>
      </c>
      <c r="W133" s="10">
        <f>SUM('Model inputs'!W134,'Model inputs'!W135,'Model inputs'!W136,'Model inputs'!W137)</f>
        <v>894.6404605682374</v>
      </c>
      <c r="X133" s="10">
        <f>SUM('Model inputs'!X134,'Model inputs'!X135,'Model inputs'!X136,'Model inputs'!X137)</f>
        <v>951.2548421455078</v>
      </c>
      <c r="Y133" s="10">
        <f>SUM('Model inputs'!Y134,'Model inputs'!Y135,'Model inputs'!Y136,'Model inputs'!Y137)</f>
        <v>1005.6046484596875</v>
      </c>
      <c r="Z133" s="10">
        <f>SUM('Model inputs'!Z134,'Model inputs'!Z135,'Model inputs'!Z136,'Model inputs'!Z137)</f>
        <v>1057.7804625213</v>
      </c>
      <c r="AA133" s="10">
        <f>SUM('Model inputs'!AA134,'Model inputs'!AA135,'Model inputs'!AA136,'Model inputs'!AA137)</f>
        <v>1107.8692440204481</v>
      </c>
      <c r="AB133" s="10">
        <f>SUM('Model inputs'!AB134,'Model inputs'!AB135,'Model inputs'!AB136,'Model inputs'!AB137)</f>
        <v>1155.9544742596302</v>
      </c>
      <c r="AC133" s="10">
        <f>SUM('Model inputs'!AC134,'Model inputs'!AC135,'Model inputs'!AC136,'Model inputs'!AC137)</f>
        <v>1202.116295289245</v>
      </c>
    </row>
    <row r="134" outlineLevel="1">
      <c r="A134" t="inlineStr" s="21">
        <is>
          <t xml:space="preserve">NW Infrastructure delivery cost &gt; Business</t>
        </is>
      </c>
      <c r="L134" s="11">
        <f>'Model inputs'!L78*'Model inputs'!B50</f>
        <v>22.400000000000002</v>
      </c>
      <c r="M134" s="11">
        <f>'Model inputs'!M78*'Model inputs'!B50</f>
        <v>43.904</v>
      </c>
      <c r="N134" s="11">
        <f>'Model inputs'!N78*'Model inputs'!B50</f>
        <v>64.54784000000001</v>
      </c>
      <c r="O134" s="11">
        <f>'Model inputs'!O78*'Model inputs'!B50</f>
        <v>84.36592640000002</v>
      </c>
      <c r="P134" s="11">
        <f>'Model inputs'!P78*'Model inputs'!B50</f>
        <v>103.39128934400003</v>
      </c>
      <c r="Q134" s="11">
        <f>'Model inputs'!Q78*'Model inputs'!B50</f>
        <v>121.65563777024002</v>
      </c>
      <c r="R134" s="11">
        <f>'Model inputs'!R78*'Model inputs'!B50</f>
        <v>139.18941225943044</v>
      </c>
      <c r="S134" s="11">
        <f>'Model inputs'!S78*'Model inputs'!B50</f>
        <v>156.0218357690532</v>
      </c>
      <c r="T134" s="11">
        <f>'Model inputs'!T78*'Model inputs'!B50</f>
        <v>172.1809623382911</v>
      </c>
      <c r="U134" s="11">
        <f>'Model inputs'!U78*'Model inputs'!B50</f>
        <v>187.69372384475943</v>
      </c>
      <c r="V134" s="11">
        <f>'Model inputs'!V78*'Model inputs'!B50</f>
        <v>202.58597489096906</v>
      </c>
      <c r="W134" s="11">
        <f>'Model inputs'!W78*'Model inputs'!B50</f>
        <v>216.8825358953303</v>
      </c>
      <c r="X134" s="11">
        <f>'Model inputs'!X78*'Model inputs'!B50</f>
        <v>230.6072344595171</v>
      </c>
      <c r="Y134" s="11">
        <f>'Model inputs'!Y78*'Model inputs'!B50</f>
        <v>243.7829450811364</v>
      </c>
      <c r="Z134" s="11">
        <f>'Model inputs'!Z78*'Model inputs'!B50</f>
        <v>256.4316272778909</v>
      </c>
      <c r="AA134" s="11">
        <f>'Model inputs'!AA78*'Model inputs'!B50</f>
        <v>268.5743621867753</v>
      </c>
      <c r="AB134" s="11">
        <f>'Model inputs'!AB78*'Model inputs'!B50</f>
        <v>280.23138769930426</v>
      </c>
      <c r="AC134" s="11">
        <f>'Model inputs'!AC78*'Model inputs'!B50</f>
        <v>291.4221321913321</v>
      </c>
    </row>
    <row r="135" outlineLevel="1">
      <c r="A135" t="inlineStr" s="21">
        <is>
          <t xml:space="preserve">NW Infrastructure delivery cost &gt; Community</t>
        </is>
      </c>
      <c r="L135" s="11">
        <f>'Model inputs'!L79*'Model inputs'!B51</f>
        <v>0</v>
      </c>
      <c r="M135" s="11">
        <f>'Model inputs'!M79*'Model inputs'!B51</f>
        <v>0</v>
      </c>
      <c r="N135" s="11">
        <f>'Model inputs'!N79*'Model inputs'!B51</f>
        <v>0</v>
      </c>
      <c r="O135" s="11">
        <f>'Model inputs'!O79*'Model inputs'!B51</f>
        <v>0</v>
      </c>
      <c r="P135" s="11">
        <f>'Model inputs'!P79*'Model inputs'!B51</f>
        <v>0</v>
      </c>
      <c r="Q135" s="11">
        <f>'Model inputs'!Q79*'Model inputs'!B51</f>
        <v>0</v>
      </c>
      <c r="R135" s="11">
        <f>'Model inputs'!R79*'Model inputs'!B51</f>
        <v>0</v>
      </c>
      <c r="S135" s="11">
        <f>'Model inputs'!S79*'Model inputs'!B51</f>
        <v>0</v>
      </c>
      <c r="T135" s="11">
        <f>'Model inputs'!T79*'Model inputs'!B51</f>
        <v>0</v>
      </c>
      <c r="U135" s="11">
        <f>'Model inputs'!U79*'Model inputs'!B51</f>
        <v>0</v>
      </c>
      <c r="V135" s="11">
        <f>'Model inputs'!V79*'Model inputs'!B51</f>
        <v>0</v>
      </c>
      <c r="W135" s="11">
        <f>'Model inputs'!W79*'Model inputs'!B51</f>
        <v>0</v>
      </c>
      <c r="X135" s="11">
        <f>'Model inputs'!X79*'Model inputs'!B51</f>
        <v>0</v>
      </c>
      <c r="Y135" s="11">
        <f>'Model inputs'!Y79*'Model inputs'!B51</f>
        <v>0</v>
      </c>
      <c r="Z135" s="11">
        <f>'Model inputs'!Z79*'Model inputs'!B51</f>
        <v>0</v>
      </c>
      <c r="AA135" s="11">
        <f>'Model inputs'!AA79*'Model inputs'!B51</f>
        <v>0</v>
      </c>
      <c r="AB135" s="11">
        <f>'Model inputs'!AB79*'Model inputs'!B51</f>
        <v>0</v>
      </c>
      <c r="AC135" s="11">
        <f>'Model inputs'!AC79*'Model inputs'!B51</f>
        <v>0</v>
      </c>
    </row>
    <row r="136" outlineLevel="1">
      <c r="A136" t="inlineStr" s="21">
        <is>
          <t xml:space="preserve">NW Infrastructure delivery cost &gt; Starter</t>
        </is>
      </c>
      <c r="L136" s="11">
        <f>'Model inputs'!L80*'Model inputs'!B52</f>
        <v>30.800000000000004</v>
      </c>
      <c r="M136" s="11">
        <f>'Model inputs'!M80*'Model inputs'!B52</f>
        <v>60.368</v>
      </c>
      <c r="N136" s="11">
        <f>'Model inputs'!N80*'Model inputs'!B52</f>
        <v>88.75328000000002</v>
      </c>
      <c r="O136" s="11">
        <f>'Model inputs'!O80*'Model inputs'!B52</f>
        <v>116.0031488</v>
      </c>
      <c r="P136" s="11">
        <f>'Model inputs'!P80*'Model inputs'!B52</f>
        <v>142.16302284800003</v>
      </c>
      <c r="Q136" s="11">
        <f>'Model inputs'!Q80*'Model inputs'!B52</f>
        <v>167.27650193408002</v>
      </c>
      <c r="R136" s="11">
        <f>'Model inputs'!R80*'Model inputs'!B52</f>
        <v>191.38544185671682</v>
      </c>
      <c r="S136" s="11">
        <f>'Model inputs'!S80*'Model inputs'!B52</f>
        <v>214.53002418244816</v>
      </c>
      <c r="T136" s="11">
        <f>'Model inputs'!T80*'Model inputs'!B52</f>
        <v>236.74882321515022</v>
      </c>
      <c r="U136" s="11">
        <f>'Model inputs'!U80*'Model inputs'!B52</f>
        <v>258.0788702865442</v>
      </c>
      <c r="V136" s="11">
        <f>'Model inputs'!V80*'Model inputs'!B52</f>
        <v>278.5557154750824</v>
      </c>
      <c r="W136" s="11">
        <f>'Model inputs'!W80*'Model inputs'!B52</f>
        <v>298.2134868560791</v>
      </c>
      <c r="X136" s="11">
        <f>'Model inputs'!X80*'Model inputs'!B52</f>
        <v>317.08494738183595</v>
      </c>
      <c r="Y136" s="11">
        <f>'Model inputs'!Y80*'Model inputs'!B52</f>
        <v>335.2015494865625</v>
      </c>
      <c r="Z136" s="11">
        <f>'Model inputs'!Z80*'Model inputs'!B52</f>
        <v>352.5934875071</v>
      </c>
      <c r="AA136" s="11">
        <f>'Model inputs'!AA80*'Model inputs'!B52</f>
        <v>369.289748006816</v>
      </c>
      <c r="AB136" s="11">
        <f>'Model inputs'!AB80*'Model inputs'!B52</f>
        <v>385.31815808654335</v>
      </c>
      <c r="AC136" s="11">
        <f>'Model inputs'!AC80*'Model inputs'!B52</f>
        <v>400.70543176308166</v>
      </c>
    </row>
    <row r="137" outlineLevel="1">
      <c r="A137" t="inlineStr" s="21">
        <is>
          <t xml:space="preserve">NW Infrastructure delivery cost &gt; Team</t>
        </is>
      </c>
      <c r="L137" s="11">
        <f>'Model inputs'!L81*'Model inputs'!B53</f>
        <v>39.2</v>
      </c>
      <c r="M137" s="11">
        <f>'Model inputs'!M81*'Model inputs'!B53</f>
        <v>76.83200000000001</v>
      </c>
      <c r="N137" s="11">
        <f>'Model inputs'!N81*'Model inputs'!B53</f>
        <v>112.95872</v>
      </c>
      <c r="O137" s="11">
        <f>'Model inputs'!O81*'Model inputs'!B53</f>
        <v>147.6403712</v>
      </c>
      <c r="P137" s="11">
        <f>'Model inputs'!P81*'Model inputs'!B53</f>
        <v>180.934756352</v>
      </c>
      <c r="Q137" s="11">
        <f>'Model inputs'!Q81*'Model inputs'!B53</f>
        <v>212.89736609792</v>
      </c>
      <c r="R137" s="11">
        <f>'Model inputs'!R81*'Model inputs'!B53</f>
        <v>243.58147145400324</v>
      </c>
      <c r="S137" s="11">
        <f>'Model inputs'!S81*'Model inputs'!B53</f>
        <v>273.0382125958431</v>
      </c>
      <c r="T137" s="11">
        <f>'Model inputs'!T81*'Model inputs'!B53</f>
        <v>301.3166840920094</v>
      </c>
      <c r="U137" s="11">
        <f>'Model inputs'!U81*'Model inputs'!B53</f>
        <v>328.464016728329</v>
      </c>
      <c r="V137" s="11">
        <f>'Model inputs'!V81*'Model inputs'!B53</f>
        <v>354.52545605919585</v>
      </c>
      <c r="W137" s="11">
        <f>'Model inputs'!W81*'Model inputs'!B53</f>
        <v>379.54443781682795</v>
      </c>
      <c r="X137" s="11">
        <f>'Model inputs'!X81*'Model inputs'!B53</f>
        <v>403.56266030415486</v>
      </c>
      <c r="Y137" s="11">
        <f>'Model inputs'!Y81*'Model inputs'!B53</f>
        <v>426.62015389198865</v>
      </c>
      <c r="Z137" s="11">
        <f>'Model inputs'!Z81*'Model inputs'!B53</f>
        <v>448.75534773630915</v>
      </c>
      <c r="AA137" s="11">
        <f>'Model inputs'!AA81*'Model inputs'!B53</f>
        <v>470.00513382685676</v>
      </c>
      <c r="AB137" s="11">
        <f>'Model inputs'!AB81*'Model inputs'!B53</f>
        <v>490.4049284737825</v>
      </c>
      <c r="AC137" s="11">
        <f>'Model inputs'!AC81*'Model inputs'!B53</f>
        <v>509.9887313348312</v>
      </c>
    </row>
    <row r="138">
      <c r="A138" t="inlineStr" s="20">
        <is>
          <t xml:space="preserve">NW Payment fees</t>
        </is>
      </c>
      <c r="L138" s="10">
        <f>SUM('Model inputs'!L139,'Model inputs'!L140,'Model inputs'!L141,'Model inputs'!L142)</f>
        <v>57.7</v>
      </c>
      <c r="M138" s="10">
        <f>SUM('Model inputs'!M139,'Model inputs'!M140,'Model inputs'!M141,'Model inputs'!M142)</f>
        <v>113.09200000000001</v>
      </c>
      <c r="N138" s="10">
        <f>SUM('Model inputs'!N139,'Model inputs'!N140,'Model inputs'!N141,'Model inputs'!N142)</f>
        <v>166.26832000000002</v>
      </c>
      <c r="O138" s="10">
        <f>SUM('Model inputs'!O139,'Model inputs'!O140,'Model inputs'!O141,'Model inputs'!O142)</f>
        <v>217.31758720000005</v>
      </c>
      <c r="P138" s="10">
        <f>SUM('Model inputs'!P139,'Model inputs'!P140,'Model inputs'!P141,'Model inputs'!P142)</f>
        <v>266.32488371200003</v>
      </c>
      <c r="Q138" s="10">
        <f>SUM('Model inputs'!Q139,'Model inputs'!Q140,'Model inputs'!Q141,'Model inputs'!Q142)</f>
        <v>313.37188836352004</v>
      </c>
      <c r="R138" s="10">
        <f>SUM('Model inputs'!R139,'Model inputs'!R140,'Model inputs'!R141,'Model inputs'!R142)</f>
        <v>358.53701282897924</v>
      </c>
      <c r="S138" s="10">
        <f>SUM('Model inputs'!S139,'Model inputs'!S140,'Model inputs'!S141,'Model inputs'!S142)</f>
        <v>401.8955323158201</v>
      </c>
      <c r="T138" s="10">
        <f>SUM('Model inputs'!T139,'Model inputs'!T140,'Model inputs'!T141,'Model inputs'!T142)</f>
        <v>443.51971102318726</v>
      </c>
      <c r="U138" s="10">
        <f>SUM('Model inputs'!U139,'Model inputs'!U140,'Model inputs'!U141,'Model inputs'!U142)</f>
        <v>483.47892258225977</v>
      </c>
      <c r="V138" s="10">
        <f>SUM('Model inputs'!V139,'Model inputs'!V140,'Model inputs'!V141,'Model inputs'!V142)</f>
        <v>521.8397656789693</v>
      </c>
      <c r="W138" s="10">
        <f>SUM('Model inputs'!W139,'Model inputs'!W140,'Model inputs'!W141,'Model inputs'!W142)</f>
        <v>558.6661750518106</v>
      </c>
      <c r="X138" s="10">
        <f>SUM('Model inputs'!X139,'Model inputs'!X140,'Model inputs'!X141,'Model inputs'!X142)</f>
        <v>594.0195280497381</v>
      </c>
      <c r="Y138" s="10">
        <f>SUM('Model inputs'!Y139,'Model inputs'!Y140,'Model inputs'!Y141,'Model inputs'!Y142)</f>
        <v>627.9587469277486</v>
      </c>
      <c r="Z138" s="10">
        <f>SUM('Model inputs'!Z139,'Model inputs'!Z140,'Model inputs'!Z141,'Model inputs'!Z142)</f>
        <v>660.5403970506386</v>
      </c>
      <c r="AA138" s="10">
        <f>SUM('Model inputs'!AA139,'Model inputs'!AA140,'Model inputs'!AA141,'Model inputs'!AA142)</f>
        <v>691.8187811686131</v>
      </c>
      <c r="AB138" s="10">
        <f>SUM('Model inputs'!AB139,'Model inputs'!AB140,'Model inputs'!AB141,'Model inputs'!AB142)</f>
        <v>721.8460299218685</v>
      </c>
      <c r="AC138" s="10">
        <f>SUM('Model inputs'!AC139,'Model inputs'!AC140,'Model inputs'!AC141,'Model inputs'!AC142)</f>
        <v>750.6721887249939</v>
      </c>
    </row>
    <row r="139" outlineLevel="1">
      <c r="A139" t="inlineStr" s="21">
        <is>
          <t xml:space="preserve">NW Payment fees &gt; Business</t>
        </is>
      </c>
      <c r="L139" s="11">
        <f>'Model inputs'!L78*'Model inputs'!B27</f>
        <v>31.200000000000003</v>
      </c>
      <c r="M139" s="11">
        <f>'Model inputs'!M78*'Model inputs'!B27</f>
        <v>61.152</v>
      </c>
      <c r="N139" s="11">
        <f>'Model inputs'!N78*'Model inputs'!B27</f>
        <v>89.90592000000001</v>
      </c>
      <c r="O139" s="11">
        <f>'Model inputs'!O78*'Model inputs'!B27</f>
        <v>117.50968320000003</v>
      </c>
      <c r="P139" s="11">
        <f>'Model inputs'!P78*'Model inputs'!B27</f>
        <v>144.00929587200002</v>
      </c>
      <c r="Q139" s="11">
        <f>'Model inputs'!Q78*'Model inputs'!B27</f>
        <v>169.44892403712004</v>
      </c>
      <c r="R139" s="11">
        <f>'Model inputs'!R78*'Model inputs'!B27</f>
        <v>193.87096707563524</v>
      </c>
      <c r="S139" s="11">
        <f>'Model inputs'!S78*'Model inputs'!B27</f>
        <v>217.31612839260984</v>
      </c>
      <c r="T139" s="11">
        <f>'Model inputs'!T78*'Model inputs'!B27</f>
        <v>239.82348325690546</v>
      </c>
      <c r="U139" s="11">
        <f>'Model inputs'!U78*'Model inputs'!B27</f>
        <v>261.4305439266292</v>
      </c>
      <c r="V139" s="11">
        <f>'Model inputs'!V78*'Model inputs'!B27</f>
        <v>282.1733221695641</v>
      </c>
      <c r="W139" s="11">
        <f>'Model inputs'!W78*'Model inputs'!B27</f>
        <v>302.08638928278145</v>
      </c>
      <c r="X139" s="11">
        <f>'Model inputs'!X78*'Model inputs'!B27</f>
        <v>321.2029337114702</v>
      </c>
      <c r="Y139" s="11">
        <f>'Model inputs'!Y78*'Model inputs'!B27</f>
        <v>339.5548163630114</v>
      </c>
      <c r="Z139" s="11">
        <f>'Model inputs'!Z78*'Model inputs'!B27</f>
        <v>357.17262370849096</v>
      </c>
      <c r="AA139" s="11">
        <f>'Model inputs'!AA78*'Model inputs'!B27</f>
        <v>374.0857187601513</v>
      </c>
      <c r="AB139" s="11">
        <f>'Model inputs'!AB78*'Model inputs'!B27</f>
        <v>390.32229000974525</v>
      </c>
      <c r="AC139" s="11">
        <f>'Model inputs'!AC78*'Model inputs'!B27</f>
        <v>405.90939840935545</v>
      </c>
    </row>
    <row r="140" outlineLevel="1">
      <c r="A140" t="inlineStr" s="21">
        <is>
          <t xml:space="preserve">NW Payment fees &gt; Community</t>
        </is>
      </c>
      <c r="L140" s="11">
        <f>'Model inputs'!L79*'Model inputs'!B28</f>
        <v>0</v>
      </c>
      <c r="M140" s="11">
        <f>'Model inputs'!M79*'Model inputs'!B28</f>
        <v>0</v>
      </c>
      <c r="N140" s="11">
        <f>'Model inputs'!N79*'Model inputs'!B28</f>
        <v>0</v>
      </c>
      <c r="O140" s="11">
        <f>'Model inputs'!O79*'Model inputs'!B28</f>
        <v>0</v>
      </c>
      <c r="P140" s="11">
        <f>'Model inputs'!P79*'Model inputs'!B28</f>
        <v>0</v>
      </c>
      <c r="Q140" s="11">
        <f>'Model inputs'!Q79*'Model inputs'!B28</f>
        <v>0</v>
      </c>
      <c r="R140" s="11">
        <f>'Model inputs'!R79*'Model inputs'!B28</f>
        <v>0</v>
      </c>
      <c r="S140" s="11">
        <f>'Model inputs'!S79*'Model inputs'!B28</f>
        <v>0</v>
      </c>
      <c r="T140" s="11">
        <f>'Model inputs'!T79*'Model inputs'!B28</f>
        <v>0</v>
      </c>
      <c r="U140" s="11">
        <f>'Model inputs'!U79*'Model inputs'!B28</f>
        <v>0</v>
      </c>
      <c r="V140" s="11">
        <f>'Model inputs'!V79*'Model inputs'!B28</f>
        <v>0</v>
      </c>
      <c r="W140" s="11">
        <f>'Model inputs'!W79*'Model inputs'!B28</f>
        <v>0</v>
      </c>
      <c r="X140" s="11">
        <f>'Model inputs'!X79*'Model inputs'!B28</f>
        <v>0</v>
      </c>
      <c r="Y140" s="11">
        <f>'Model inputs'!Y79*'Model inputs'!B28</f>
        <v>0</v>
      </c>
      <c r="Z140" s="11">
        <f>'Model inputs'!Z79*'Model inputs'!B28</f>
        <v>0</v>
      </c>
      <c r="AA140" s="11">
        <f>'Model inputs'!AA79*'Model inputs'!B28</f>
        <v>0</v>
      </c>
      <c r="AB140" s="11">
        <f>'Model inputs'!AB79*'Model inputs'!B28</f>
        <v>0</v>
      </c>
      <c r="AC140" s="11">
        <f>'Model inputs'!AC79*'Model inputs'!B28</f>
        <v>0</v>
      </c>
    </row>
    <row r="141" outlineLevel="1">
      <c r="A141" t="inlineStr" s="21">
        <is>
          <t xml:space="preserve">NW Payment fees &gt; Starter</t>
        </is>
      </c>
      <c r="L141" s="11">
        <f>'Model inputs'!L80*'Model inputs'!B29</f>
        <v>5.5</v>
      </c>
      <c r="M141" s="11">
        <f>'Model inputs'!M80*'Model inputs'!B29</f>
        <v>10.78</v>
      </c>
      <c r="N141" s="11">
        <f>'Model inputs'!N80*'Model inputs'!B29</f>
        <v>15.8488</v>
      </c>
      <c r="O141" s="11">
        <f>'Model inputs'!O80*'Model inputs'!B29</f>
        <v>20.714848</v>
      </c>
      <c r="P141" s="11">
        <f>'Model inputs'!P80*'Model inputs'!B29</f>
        <v>25.38625408</v>
      </c>
      <c r="Q141" s="11">
        <f>'Model inputs'!Q80*'Model inputs'!B29</f>
        <v>29.8708039168</v>
      </c>
      <c r="R141" s="11">
        <f>'Model inputs'!R80*'Model inputs'!B29</f>
        <v>34.175971760128</v>
      </c>
      <c r="S141" s="11">
        <f>'Model inputs'!S80*'Model inputs'!B29</f>
        <v>38.30893288972288</v>
      </c>
      <c r="T141" s="11">
        <f>'Model inputs'!T80*'Model inputs'!B29</f>
        <v>42.276575574133965</v>
      </c>
      <c r="U141" s="11">
        <f>'Model inputs'!U80*'Model inputs'!B29</f>
        <v>46.085512551168605</v>
      </c>
      <c r="V141" s="11">
        <f>'Model inputs'!V80*'Model inputs'!B29</f>
        <v>49.74209204912186</v>
      </c>
      <c r="W141" s="11">
        <f>'Model inputs'!W80*'Model inputs'!B29</f>
        <v>53.25240836715698</v>
      </c>
      <c r="X141" s="11">
        <f>'Model inputs'!X80*'Model inputs'!B29</f>
        <v>56.6223120324707</v>
      </c>
      <c r="Y141" s="11">
        <f>'Model inputs'!Y80*'Model inputs'!B29</f>
        <v>59.85741955117187</v>
      </c>
      <c r="Z141" s="11">
        <f>'Model inputs'!Z80*'Model inputs'!B29</f>
        <v>62.963122769125</v>
      </c>
      <c r="AA141" s="11">
        <f>'Model inputs'!AA80*'Model inputs'!B29</f>
        <v>65.94459785836</v>
      </c>
      <c r="AB141" s="11">
        <f>'Model inputs'!AB80*'Model inputs'!B29</f>
        <v>68.80681394402559</v>
      </c>
      <c r="AC141" s="11">
        <f>'Model inputs'!AC80*'Model inputs'!B29</f>
        <v>71.55454138626457</v>
      </c>
    </row>
    <row r="142" outlineLevel="1">
      <c r="A142" t="inlineStr" s="21">
        <is>
          <t xml:space="preserve">NW Payment fees &gt; Team</t>
        </is>
      </c>
      <c r="L142" s="11">
        <f>'Model inputs'!L81*'Model inputs'!B30</f>
        <v>21</v>
      </c>
      <c r="M142" s="11">
        <f>'Model inputs'!M81*'Model inputs'!B30</f>
        <v>41.160000000000004</v>
      </c>
      <c r="N142" s="11">
        <f>'Model inputs'!N81*'Model inputs'!B30</f>
        <v>60.5136</v>
      </c>
      <c r="O142" s="11">
        <f>'Model inputs'!O81*'Model inputs'!B30</f>
        <v>79.093056</v>
      </c>
      <c r="P142" s="11">
        <f>'Model inputs'!P81*'Model inputs'!B30</f>
        <v>96.92933375999999</v>
      </c>
      <c r="Q142" s="11">
        <f>'Model inputs'!Q81*'Model inputs'!B30</f>
        <v>114.05216040959999</v>
      </c>
      <c r="R142" s="11">
        <f>'Model inputs'!R81*'Model inputs'!B30</f>
        <v>130.49007399321601</v>
      </c>
      <c r="S142" s="11">
        <f>'Model inputs'!S81*'Model inputs'!B30</f>
        <v>146.27047103348735</v>
      </c>
      <c r="T142" s="11">
        <f>'Model inputs'!T81*'Model inputs'!B30</f>
        <v>161.41965219214785</v>
      </c>
      <c r="U142" s="11">
        <f>'Model inputs'!U81*'Model inputs'!B30</f>
        <v>175.96286610446197</v>
      </c>
      <c r="V142" s="11">
        <f>'Model inputs'!V81*'Model inputs'!B30</f>
        <v>189.92435146028348</v>
      </c>
      <c r="W142" s="11">
        <f>'Model inputs'!W81*'Model inputs'!B30</f>
        <v>203.3273774018721</v>
      </c>
      <c r="X142" s="11">
        <f>'Model inputs'!X81*'Model inputs'!B30</f>
        <v>216.19428230579723</v>
      </c>
      <c r="Y142" s="11">
        <f>'Model inputs'!Y81*'Model inputs'!B30</f>
        <v>228.54651101356535</v>
      </c>
      <c r="Z142" s="11">
        <f>'Model inputs'!Z81*'Model inputs'!B30</f>
        <v>240.4046505730227</v>
      </c>
      <c r="AA142" s="11">
        <f>'Model inputs'!AA81*'Model inputs'!B30</f>
        <v>251.78846455010182</v>
      </c>
      <c r="AB142" s="11">
        <f>'Model inputs'!AB81*'Model inputs'!B30</f>
        <v>262.7169259680977</v>
      </c>
      <c r="AC142" s="11">
        <f>'Model inputs'!AC81*'Model inputs'!B30</f>
        <v>273.20824892937384</v>
      </c>
    </row>
    <row r="143">
      <c r="A143" t="inlineStr" s="20">
        <is>
          <t xml:space="preserve">NW Churned customers</t>
        </is>
      </c>
      <c r="L143" s="7">
        <f>SUM('Model inputs'!L144,'Model inputs'!L145,'Model inputs'!L146,'Model inputs'!L147)</f>
        <v>0</v>
      </c>
      <c r="M143" s="7">
        <f>SUM('Model inputs'!M144,'Model inputs'!M145,'Model inputs'!M146,'Model inputs'!M147)</f>
        <v>1.6</v>
      </c>
      <c r="N143" s="7">
        <f>SUM('Model inputs'!N144,'Model inputs'!N145,'Model inputs'!N146,'Model inputs'!N147)</f>
        <v>3.136</v>
      </c>
      <c r="O143" s="7">
        <f>SUM('Model inputs'!O144,'Model inputs'!O145,'Model inputs'!O146,'Model inputs'!O147)</f>
        <v>4.61056</v>
      </c>
      <c r="P143" s="7">
        <f>SUM('Model inputs'!P144,'Model inputs'!P145,'Model inputs'!P146,'Model inputs'!P147)</f>
        <v>6.0261376</v>
      </c>
      <c r="Q143" s="7">
        <f>SUM('Model inputs'!Q144,'Model inputs'!Q145,'Model inputs'!Q146,'Model inputs'!Q147)</f>
        <v>7.385092096</v>
      </c>
      <c r="R143" s="7">
        <f>SUM('Model inputs'!R144,'Model inputs'!R145,'Model inputs'!R146,'Model inputs'!R147)</f>
        <v>8.68968841216</v>
      </c>
      <c r="S143" s="7">
        <f>SUM('Model inputs'!S144,'Model inputs'!S145,'Model inputs'!S146,'Model inputs'!S147)</f>
        <v>9.9421008756736</v>
      </c>
      <c r="T143" s="7">
        <f>SUM('Model inputs'!T144,'Model inputs'!T145,'Model inputs'!T146,'Model inputs'!T147)</f>
        <v>11.144416840646656</v>
      </c>
      <c r="U143" s="7">
        <f>SUM('Model inputs'!U144,'Model inputs'!U145,'Model inputs'!U146,'Model inputs'!U147)</f>
        <v>12.298640167020789</v>
      </c>
      <c r="V143" s="7">
        <f>SUM('Model inputs'!V144,'Model inputs'!V145,'Model inputs'!V146,'Model inputs'!V147)</f>
        <v>13.406694560339957</v>
      </c>
      <c r="W143" s="7">
        <f>SUM('Model inputs'!W144,'Model inputs'!W145,'Model inputs'!W146,'Model inputs'!W147)</f>
        <v>14.47042677792636</v>
      </c>
      <c r="X143" s="7">
        <f>SUM('Model inputs'!X144,'Model inputs'!X145,'Model inputs'!X146,'Model inputs'!X147)</f>
        <v>15.491609706809303</v>
      </c>
      <c r="Y143" s="7">
        <f>SUM('Model inputs'!Y144,'Model inputs'!Y145,'Model inputs'!Y146,'Model inputs'!Y147)</f>
        <v>16.471945318536932</v>
      </c>
      <c r="Z143" s="7">
        <f>SUM('Model inputs'!Z144,'Model inputs'!Z145,'Model inputs'!Z146,'Model inputs'!Z147)</f>
        <v>17.413067505795453</v>
      </c>
      <c r="AA143" s="7">
        <f>SUM('Model inputs'!AA144,'Model inputs'!AA145,'Model inputs'!AA146,'Model inputs'!AA147)</f>
        <v>18.316544805563638</v>
      </c>
      <c r="AB143" s="7">
        <f>SUM('Model inputs'!AB144,'Model inputs'!AB145,'Model inputs'!AB146,'Model inputs'!AB147)</f>
        <v>19.18388301334109</v>
      </c>
      <c r="AC143" s="7">
        <f>SUM('Model inputs'!AC144,'Model inputs'!AC145,'Model inputs'!AC146,'Model inputs'!AC147)</f>
        <v>20.016527692807447</v>
      </c>
    </row>
    <row r="144" outlineLevel="1">
      <c r="A144" t="inlineStr" s="21">
        <is>
          <t xml:space="preserve">NW Churned customers &gt; Business</t>
        </is>
      </c>
      <c r="L144" s="9">
        <f>'Model inputs'!L67*'Model inputs'!B59</f>
        <v>0</v>
      </c>
      <c r="M144" s="9">
        <f>'Model inputs'!M67*'Model inputs'!B59</f>
        <v>0.16</v>
      </c>
      <c r="N144" s="9">
        <f>'Model inputs'!N67*'Model inputs'!B59</f>
        <v>0.3136</v>
      </c>
      <c r="O144" s="9">
        <f>'Model inputs'!O67*'Model inputs'!B59</f>
        <v>0.461056</v>
      </c>
      <c r="P144" s="9">
        <f>'Model inputs'!P67*'Model inputs'!B59</f>
        <v>0.6026137600000001</v>
      </c>
      <c r="Q144" s="9">
        <f>'Model inputs'!Q67*'Model inputs'!B59</f>
        <v>0.7385092096000001</v>
      </c>
      <c r="R144" s="9">
        <f>'Model inputs'!R67*'Model inputs'!B59</f>
        <v>0.8689688412160002</v>
      </c>
      <c r="S144" s="9">
        <f>'Model inputs'!S67*'Model inputs'!B59</f>
        <v>0.9942100875673602</v>
      </c>
      <c r="T144" s="9">
        <f>'Model inputs'!T67*'Model inputs'!B59</f>
        <v>1.1144416840646658</v>
      </c>
      <c r="U144" s="9">
        <f>'Model inputs'!U67*'Model inputs'!B59</f>
        <v>1.2298640167020791</v>
      </c>
      <c r="V144" s="9">
        <f>'Model inputs'!V67*'Model inputs'!B59</f>
        <v>1.3406694560339958</v>
      </c>
      <c r="W144" s="9">
        <f>'Model inputs'!W67*'Model inputs'!B59</f>
        <v>1.447042677792636</v>
      </c>
      <c r="X144" s="9">
        <f>'Model inputs'!X67*'Model inputs'!B59</f>
        <v>1.5491609706809306</v>
      </c>
      <c r="Y144" s="9">
        <f>'Model inputs'!Y67*'Model inputs'!B59</f>
        <v>1.6471945318536934</v>
      </c>
      <c r="Z144" s="9">
        <f>'Model inputs'!Z67*'Model inputs'!B59</f>
        <v>1.7413067505795456</v>
      </c>
      <c r="AA144" s="9">
        <f>'Model inputs'!AA67*'Model inputs'!B59</f>
        <v>1.8316544805563637</v>
      </c>
      <c r="AB144" s="9">
        <f>'Model inputs'!AB67*'Model inputs'!B59</f>
        <v>1.9183883013341092</v>
      </c>
      <c r="AC144" s="9">
        <f>'Model inputs'!AC67*'Model inputs'!B59</f>
        <v>2.001652769280745</v>
      </c>
    </row>
    <row r="145" outlineLevel="1">
      <c r="A145" t="inlineStr" s="21">
        <is>
          <t xml:space="preserve">NW Churned customers &gt; Community</t>
        </is>
      </c>
      <c r="L145" s="9">
        <f>'Model inputs'!L68*'Model inputs'!B59</f>
        <v>0</v>
      </c>
      <c r="M145" s="9">
        <f>'Model inputs'!M68*'Model inputs'!B59</f>
        <v>0</v>
      </c>
      <c r="N145" s="9">
        <f>'Model inputs'!N68*'Model inputs'!B59</f>
        <v>0</v>
      </c>
      <c r="O145" s="9">
        <f>'Model inputs'!O68*'Model inputs'!B59</f>
        <v>0</v>
      </c>
      <c r="P145" s="9">
        <f>'Model inputs'!P68*'Model inputs'!B59</f>
        <v>0</v>
      </c>
      <c r="Q145" s="9">
        <f>'Model inputs'!Q68*'Model inputs'!B59</f>
        <v>0</v>
      </c>
      <c r="R145" s="9">
        <f>'Model inputs'!R68*'Model inputs'!B59</f>
        <v>0</v>
      </c>
      <c r="S145" s="9">
        <f>'Model inputs'!S68*'Model inputs'!B59</f>
        <v>0</v>
      </c>
      <c r="T145" s="9">
        <f>'Model inputs'!T68*'Model inputs'!B59</f>
        <v>0</v>
      </c>
      <c r="U145" s="9">
        <f>'Model inputs'!U68*'Model inputs'!B59</f>
        <v>0</v>
      </c>
      <c r="V145" s="9">
        <f>'Model inputs'!V68*'Model inputs'!B59</f>
        <v>0</v>
      </c>
      <c r="W145" s="9">
        <f>'Model inputs'!W68*'Model inputs'!B59</f>
        <v>0</v>
      </c>
      <c r="X145" s="9">
        <f>'Model inputs'!X68*'Model inputs'!B59</f>
        <v>0</v>
      </c>
      <c r="Y145" s="9">
        <f>'Model inputs'!Y68*'Model inputs'!B59</f>
        <v>0</v>
      </c>
      <c r="Z145" s="9">
        <f>'Model inputs'!Z68*'Model inputs'!B59</f>
        <v>0</v>
      </c>
      <c r="AA145" s="9">
        <f>'Model inputs'!AA68*'Model inputs'!B59</f>
        <v>0</v>
      </c>
      <c r="AB145" s="9">
        <f>'Model inputs'!AB68*'Model inputs'!B59</f>
        <v>0</v>
      </c>
      <c r="AC145" s="9">
        <f>'Model inputs'!AC68*'Model inputs'!B59</f>
        <v>0</v>
      </c>
    </row>
    <row r="146" outlineLevel="1">
      <c r="A146" t="inlineStr" s="21">
        <is>
          <t xml:space="preserve">NW Churned customers &gt; Starter</t>
        </is>
      </c>
      <c r="L146" s="9">
        <f>'Model inputs'!L69*'Model inputs'!B59</f>
        <v>0</v>
      </c>
      <c r="M146" s="9">
        <f>'Model inputs'!M69*'Model inputs'!B59</f>
        <v>0.88</v>
      </c>
      <c r="N146" s="9">
        <f>'Model inputs'!N69*'Model inputs'!B59</f>
        <v>1.7247999999999999</v>
      </c>
      <c r="O146" s="9">
        <f>'Model inputs'!O69*'Model inputs'!B59</f>
        <v>2.5358080000000003</v>
      </c>
      <c r="P146" s="9">
        <f>'Model inputs'!P69*'Model inputs'!B59</f>
        <v>3.31437568</v>
      </c>
      <c r="Q146" s="9">
        <f>'Model inputs'!Q69*'Model inputs'!B59</f>
        <v>4.061800652800001</v>
      </c>
      <c r="R146" s="9">
        <f>'Model inputs'!R69*'Model inputs'!B59</f>
        <v>4.779328626688</v>
      </c>
      <c r="S146" s="9">
        <f>'Model inputs'!S69*'Model inputs'!B59</f>
        <v>5.46815548162048</v>
      </c>
      <c r="T146" s="9">
        <f>'Model inputs'!T69*'Model inputs'!B59</f>
        <v>6.129429262355662</v>
      </c>
      <c r="U146" s="9">
        <f>'Model inputs'!U69*'Model inputs'!B59</f>
        <v>6.764252091861435</v>
      </c>
      <c r="V146" s="9">
        <f>'Model inputs'!V69*'Model inputs'!B59</f>
        <v>7.373682008186977</v>
      </c>
      <c r="W146" s="9">
        <f>'Model inputs'!W69*'Model inputs'!B59</f>
        <v>7.958734727859498</v>
      </c>
      <c r="X146" s="9">
        <f>'Model inputs'!X69*'Model inputs'!B59</f>
        <v>8.520385338745116</v>
      </c>
      <c r="Y146" s="9">
        <f>'Model inputs'!Y69*'Model inputs'!B59</f>
        <v>9.059569925195312</v>
      </c>
      <c r="Z146" s="9">
        <f>'Model inputs'!Z69*'Model inputs'!B59</f>
        <v>9.5771871281875</v>
      </c>
      <c r="AA146" s="9">
        <f>'Model inputs'!AA69*'Model inputs'!B59</f>
        <v>10.07409964306</v>
      </c>
      <c r="AB146" s="9">
        <f>'Model inputs'!AB69*'Model inputs'!B59</f>
        <v>10.5511356573376</v>
      </c>
      <c r="AC146" s="9">
        <f>'Model inputs'!AC69*'Model inputs'!B59</f>
        <v>11.009090231044095</v>
      </c>
    </row>
    <row r="147" outlineLevel="1">
      <c r="A147" t="inlineStr" s="21">
        <is>
          <t xml:space="preserve">NW Churned customers &gt; Team</t>
        </is>
      </c>
      <c r="L147" s="9">
        <f>'Model inputs'!L70*'Model inputs'!B59</f>
        <v>0</v>
      </c>
      <c r="M147" s="9">
        <f>'Model inputs'!M70*'Model inputs'!B59</f>
        <v>0.56</v>
      </c>
      <c r="N147" s="9">
        <f>'Model inputs'!N70*'Model inputs'!B59</f>
        <v>1.0976000000000001</v>
      </c>
      <c r="O147" s="9">
        <f>'Model inputs'!O70*'Model inputs'!B59</f>
        <v>1.613696</v>
      </c>
      <c r="P147" s="9">
        <f>'Model inputs'!P70*'Model inputs'!B59</f>
        <v>2.10914816</v>
      </c>
      <c r="Q147" s="9">
        <f>'Model inputs'!Q70*'Model inputs'!B59</f>
        <v>2.5847822335999995</v>
      </c>
      <c r="R147" s="9">
        <f>'Model inputs'!R70*'Model inputs'!B59</f>
        <v>3.041390944256</v>
      </c>
      <c r="S147" s="9">
        <f>'Model inputs'!S70*'Model inputs'!B59</f>
        <v>3.47973530648576</v>
      </c>
      <c r="T147" s="9">
        <f>'Model inputs'!T70*'Model inputs'!B59</f>
        <v>3.9005458942263296</v>
      </c>
      <c r="U147" s="9">
        <f>'Model inputs'!U70*'Model inputs'!B59</f>
        <v>4.304524058457276</v>
      </c>
      <c r="V147" s="9">
        <f>'Model inputs'!V70*'Model inputs'!B59</f>
        <v>4.692343096118986</v>
      </c>
      <c r="W147" s="9">
        <f>'Model inputs'!W70*'Model inputs'!B59</f>
        <v>5.064649372274226</v>
      </c>
      <c r="X147" s="9">
        <f>'Model inputs'!X70*'Model inputs'!B59</f>
        <v>5.422063397383256</v>
      </c>
      <c r="Y147" s="9">
        <f>'Model inputs'!Y70*'Model inputs'!B59</f>
        <v>5.765180861487926</v>
      </c>
      <c r="Z147" s="9">
        <f>'Model inputs'!Z70*'Model inputs'!B59</f>
        <v>6.094573627028409</v>
      </c>
      <c r="AA147" s="9">
        <f>'Model inputs'!AA70*'Model inputs'!B59</f>
        <v>6.410790681947272</v>
      </c>
      <c r="AB147" s="9">
        <f>'Model inputs'!AB70*'Model inputs'!B59</f>
        <v>6.714359054669382</v>
      </c>
      <c r="AC147" s="9">
        <f>'Model inputs'!AC70*'Model inputs'!B59</f>
        <v>7.005784692482607</v>
      </c>
    </row>
    <row r="148">
      <c r="A148" t="inlineStr" s="20">
        <is>
          <t xml:space="preserve">NW Acquisition slowdown stress · NW Stress new paying customers</t>
        </is>
      </c>
      <c r="B148" s="14">
        <f>0.25</f>
        <v>0.25</v>
      </c>
    </row>
    <row r="149">
      <c r="A149" t="inlineStr" s="20">
        <is>
          <t xml:space="preserve">NW BYOK share</t>
        </is>
      </c>
      <c r="B149" s="22">
        <v>0</v>
      </c>
    </row>
    <row r="150" outlineLevel="1">
      <c r="A150" t="inlineStr" s="21">
        <is>
          <t xml:space="preserve">NW BYOK share &gt; Business</t>
        </is>
      </c>
      <c r="B150" s="23">
        <f>0</f>
        <v>0</v>
      </c>
    </row>
    <row r="151" outlineLevel="1">
      <c r="A151" t="inlineStr" s="21">
        <is>
          <t xml:space="preserve">NW BYOK share &gt; Community</t>
        </is>
      </c>
      <c r="B151" s="23">
        <f>1</f>
        <v>1</v>
      </c>
    </row>
    <row r="152" outlineLevel="1">
      <c r="A152" t="inlineStr" s="21">
        <is>
          <t xml:space="preserve">NW BYOK share &gt; Starter</t>
        </is>
      </c>
      <c r="B152" s="23">
        <f>1</f>
        <v>1</v>
      </c>
    </row>
    <row r="153" outlineLevel="1">
      <c r="A153" t="inlineStr" s="21">
        <is>
          <t xml:space="preserve">NW BYOK share &gt; Team</t>
        </is>
      </c>
      <c r="B153" s="23">
        <f>0</f>
        <v>0</v>
      </c>
    </row>
    <row r="154">
      <c r="A154" t="inlineStr" s="20">
        <is>
          <t xml:space="preserve">NW BYOK-test gross profit per customer</t>
        </is>
      </c>
      <c r="B154" s="10">
        <f>'Model inputs'!B159*(1-'Model inputs'!B197)-'Model inputs'!B188*'Model inputs'!B194*(1-'Model inputs'!B230)-'Model inputs'!B49-'Model inputs'!B98</f>
        <v>0</v>
      </c>
    </row>
    <row r="155" outlineLevel="1">
      <c r="A155" t="inlineStr" s="21">
        <is>
          <t xml:space="preserve">NW BYOK-test gross profit per customer &gt; Business</t>
        </is>
      </c>
      <c r="B155" s="11">
        <f>'Model inputs'!B160*(1-'Model inputs'!B197)-'Model inputs'!B189*'Model inputs'!B194*(1-'Model inputs'!B231)-'Model inputs'!B50-'Model inputs'!B99</f>
        <v>128.6</v>
      </c>
    </row>
    <row r="156" outlineLevel="1">
      <c r="A156" t="inlineStr" s="21">
        <is>
          <t xml:space="preserve">NW BYOK-test gross profit per customer &gt; Community</t>
        </is>
      </c>
      <c r="B156" s="11">
        <f>'Model inputs'!B161*(1-'Model inputs'!B197)-'Model inputs'!B190*'Model inputs'!B194*(1-'Model inputs'!B232)-'Model inputs'!B51-'Model inputs'!B100</f>
        <v>0</v>
      </c>
    </row>
    <row r="157" outlineLevel="1">
      <c r="A157" t="inlineStr" s="21">
        <is>
          <t xml:space="preserve">NW BYOK-test gross profit per customer &gt; Starter</t>
        </is>
      </c>
      <c r="B157" s="11">
        <f>'Model inputs'!B162*(1-'Model inputs'!B197)-'Model inputs'!B191*'Model inputs'!B194*(1-'Model inputs'!B233)-'Model inputs'!B52-'Model inputs'!B101</f>
        <v>2.9499999999999997</v>
      </c>
    </row>
    <row r="158" outlineLevel="1">
      <c r="A158" t="inlineStr" s="21">
        <is>
          <t xml:space="preserve">NW BYOK-test gross profit per customer &gt; Team</t>
        </is>
      </c>
      <c r="B158" s="11">
        <f>'Model inputs'!B163*(1-'Model inputs'!B197)-'Model inputs'!B192*'Model inputs'!B194*(1-'Model inputs'!B234)-'Model inputs'!B53-'Model inputs'!B102</f>
        <v>21.8</v>
      </c>
    </row>
    <row r="159">
      <c r="A159" t="inlineStr" s="20">
        <is>
          <t xml:space="preserve">NW BYOK-test revenue per customer</t>
        </is>
      </c>
      <c r="B159" s="10">
        <f>'Model inputs'!B93+'Model inputs'!B172*'Model inputs'!B196*(1-'Model inputs'!B230)</f>
        <v>0</v>
      </c>
    </row>
    <row r="160" outlineLevel="1">
      <c r="A160" t="inlineStr" s="21">
        <is>
          <t xml:space="preserve">NW BYOK-test revenue per customer &gt; Business</t>
        </is>
      </c>
      <c r="B160" s="11">
        <f>'Model inputs'!B94+'Model inputs'!B173*'Model inputs'!B196*(1-'Model inputs'!B231)</f>
        <v>156</v>
      </c>
    </row>
    <row r="161" outlineLevel="1">
      <c r="A161" t="inlineStr" s="21">
        <is>
          <t xml:space="preserve">NW BYOK-test revenue per customer &gt; Community</t>
        </is>
      </c>
      <c r="B161" s="11">
        <f>'Model inputs'!B95+'Model inputs'!B174*'Model inputs'!B196*(1-'Model inputs'!B232)</f>
        <v>0</v>
      </c>
    </row>
    <row r="162" outlineLevel="1">
      <c r="A162" t="inlineStr" s="21">
        <is>
          <t xml:space="preserve">NW BYOK-test revenue per customer &gt; Starter</t>
        </is>
      </c>
      <c r="B162" s="11">
        <f>'Model inputs'!B96+'Model inputs'!B175*'Model inputs'!B196*(1-'Model inputs'!B233)</f>
        <v>5</v>
      </c>
    </row>
    <row r="163" outlineLevel="1">
      <c r="A163" t="inlineStr" s="21">
        <is>
          <t xml:space="preserve">NW BYOK-test revenue per customer &gt; Team</t>
        </is>
      </c>
      <c r="B163" s="11">
        <f>'Model inputs'!B97+'Model inputs'!B176*'Model inputs'!B196*(1-'Model inputs'!B234)</f>
        <v>30</v>
      </c>
    </row>
    <row r="164">
      <c r="A164" t="inlineStr" s="20">
        <is>
          <t xml:space="preserve">NW Cloud · NW Fixed operating costs · Low-price monthly forecast</t>
        </is>
      </c>
      <c r="B164" s="11">
        <f>300</f>
        <v>300</v>
      </c>
    </row>
    <row r="165">
      <c r="A165" t="inlineStr" s="20">
        <is>
          <t xml:space="preserve">NW Development AI · NW Fixed operating costs · Low-price monthly forecast</t>
        </is>
      </c>
      <c r="B165" s="11">
        <f>100</f>
        <v>100</v>
      </c>
    </row>
    <row r="166">
      <c r="A166" t="inlineStr" s="20">
        <is>
          <t xml:space="preserve">NW Environment delivery cost · NW Blended gross profit</t>
        </is>
      </c>
      <c r="B166" s="11">
        <f>'Model inputs'!B236+'Model inputs'!B242+'Model inputs'!B243</f>
        <v>1.4000000000000001</v>
      </c>
    </row>
    <row r="167">
      <c r="A167" t="inlineStr" s="20">
        <is>
          <t xml:space="preserve">NW Environments per customer</t>
        </is>
      </c>
      <c r="B167" s="15">
        <v>0</v>
      </c>
    </row>
    <row r="168" outlineLevel="1">
      <c r="A168" t="inlineStr" s="21">
        <is>
          <t xml:space="preserve">NW Environments per customer &gt; Business</t>
        </is>
      </c>
      <c r="B168" s="14">
        <f>4</f>
        <v>4</v>
      </c>
    </row>
    <row r="169" outlineLevel="1">
      <c r="A169" t="inlineStr" s="21">
        <is>
          <t xml:space="preserve">NW Environments per customer &gt; Community</t>
        </is>
      </c>
      <c r="B169" s="14">
        <f>0</f>
        <v>0</v>
      </c>
    </row>
    <row r="170" outlineLevel="1">
      <c r="A170" t="inlineStr" s="21">
        <is>
          <t xml:space="preserve">NW Environments per customer &gt; Starter</t>
        </is>
      </c>
      <c r="B170" s="14">
        <f>1</f>
        <v>1</v>
      </c>
    </row>
    <row r="171" outlineLevel="1">
      <c r="A171" t="inlineStr" s="21">
        <is>
          <t xml:space="preserve">NW Environments per customer &gt; Team</t>
        </is>
      </c>
      <c r="B171" s="14">
        <f>2</f>
        <v>2</v>
      </c>
    </row>
    <row r="172">
      <c r="A172" t="inlineStr" s="20">
        <is>
          <t xml:space="preserve">NW Extra incidents per customer</t>
        </is>
      </c>
      <c r="B172" s="7">
        <f>MAX('Model inputs'!B188-'Model inputs'!B237,0)</f>
        <v>0</v>
      </c>
    </row>
    <row r="173" outlineLevel="1">
      <c r="A173" t="inlineStr" s="21">
        <is>
          <t xml:space="preserve">NW Extra incidents per customer &gt; Business</t>
        </is>
      </c>
      <c r="B173" s="9">
        <f>MAX('Model inputs'!B189-'Model inputs'!B238,0)</f>
        <v>0</v>
      </c>
    </row>
    <row r="174" outlineLevel="1">
      <c r="A174" t="inlineStr" s="21">
        <is>
          <t xml:space="preserve">NW Extra incidents per customer &gt; Community</t>
        </is>
      </c>
      <c r="B174" s="9">
        <f>MAX('Model inputs'!B190-'Model inputs'!B239,0)</f>
        <v>0</v>
      </c>
    </row>
    <row r="175" outlineLevel="1">
      <c r="A175" t="inlineStr" s="21">
        <is>
          <t xml:space="preserve">NW Extra incidents per customer &gt; Starter</t>
        </is>
      </c>
      <c r="B175" s="9">
        <f>MAX('Model inputs'!B191-'Model inputs'!B240,0)</f>
        <v>0</v>
      </c>
    </row>
    <row r="176" outlineLevel="1">
      <c r="A176" t="inlineStr" s="21">
        <is>
          <t xml:space="preserve">NW Extra incidents per customer &gt; Team</t>
        </is>
      </c>
      <c r="B176" s="9">
        <f>MAX('Model inputs'!B192-'Model inputs'!B241,0)</f>
        <v>0</v>
      </c>
    </row>
    <row r="177">
      <c r="A177" t="inlineStr" s="20">
        <is>
          <t xml:space="preserve">NW Founder stipend · NW Fixed operating costs · Low-price monthly forecast</t>
        </is>
      </c>
      <c r="B177" s="11">
        <f>3000</f>
        <v>3000</v>
      </c>
    </row>
    <row r="178">
      <c r="A178" t="inlineStr" s="20">
        <is>
          <t xml:space="preserve">NW Higher-price gross profit per customer</t>
        </is>
      </c>
      <c r="B178" s="10">
        <f>'Model inputs'!B183*(1-'Model inputs'!B197)-'Model inputs'!B54-'Model inputs'!B49-'Model inputs'!B98</f>
        <v>0</v>
      </c>
    </row>
    <row r="179" outlineLevel="1">
      <c r="A179" t="inlineStr" s="21">
        <is>
          <t xml:space="preserve">NW Higher-price gross profit per customer &gt; Business</t>
        </is>
      </c>
      <c r="B179" s="11">
        <f>'Model inputs'!B184*(1-'Model inputs'!B197)-'Model inputs'!B55-'Model inputs'!B50-'Model inputs'!B99</f>
        <v>119.6</v>
      </c>
    </row>
    <row r="180" outlineLevel="1">
      <c r="A180" t="inlineStr" s="21">
        <is>
          <t xml:space="preserve">NW Higher-price gross profit per customer &gt; Community</t>
        </is>
      </c>
      <c r="B180" s="11">
        <f>'Model inputs'!B185*(1-'Model inputs'!B197)-'Model inputs'!B56-'Model inputs'!B51-'Model inputs'!B100</f>
        <v>0</v>
      </c>
    </row>
    <row r="181" outlineLevel="1">
      <c r="A181" t="inlineStr" s="21">
        <is>
          <t xml:space="preserve">NW Higher-price gross profit per customer &gt; Starter</t>
        </is>
      </c>
      <c r="B181" s="11">
        <f>'Model inputs'!B186*(1-'Model inputs'!B197)-'Model inputs'!B57-'Model inputs'!B52-'Model inputs'!B101</f>
        <v>2.9499999999999997</v>
      </c>
    </row>
    <row r="182" outlineLevel="1">
      <c r="A182" t="inlineStr" s="21">
        <is>
          <t xml:space="preserve">NW Higher-price gross profit per customer &gt; Team</t>
        </is>
      </c>
      <c r="B182" s="11">
        <f>'Model inputs'!B187*(1-'Model inputs'!B197)-'Model inputs'!B58-'Model inputs'!B53-'Model inputs'!B102</f>
        <v>27</v>
      </c>
    </row>
    <row r="183">
      <c r="A183" t="inlineStr" s="20">
        <is>
          <t xml:space="preserve">NW Higher-price revenue per customer</t>
        </is>
      </c>
      <c r="B183" s="10">
        <v>0</v>
      </c>
    </row>
    <row r="184" outlineLevel="1">
      <c r="A184" t="inlineStr" s="21">
        <is>
          <t xml:space="preserve">NW Higher-price revenue per customer &gt; Business</t>
        </is>
      </c>
      <c r="B184" s="11">
        <f>IF(IF(EXACT("Business","Team"),'Model inputs'!B235*'Model inputs'!B168,IF('Model inputs'!B94="","",'Model inputs'!B94))="",0,IF(EXACT("Business","Team"),'Model inputs'!B235*'Model inputs'!B168,IF('Model inputs'!B94="","",'Model inputs'!B94)))+'Model inputs'!B73</f>
        <v>156</v>
      </c>
    </row>
    <row r="185" outlineLevel="1">
      <c r="A185" t="inlineStr" s="21">
        <is>
          <t xml:space="preserve">NW Higher-price revenue per customer &gt; Community</t>
        </is>
      </c>
      <c r="B185" s="11">
        <f>IF(IF(EXACT("Community","Team"),'Model inputs'!B235*'Model inputs'!B169,IF('Model inputs'!B95="","",'Model inputs'!B95))="",0,IF(EXACT("Community","Team"),'Model inputs'!B235*'Model inputs'!B169,IF('Model inputs'!B95="","",'Model inputs'!B95)))+'Model inputs'!B74</f>
        <v>0</v>
      </c>
    </row>
    <row r="186" outlineLevel="1">
      <c r="A186" t="inlineStr" s="21">
        <is>
          <t xml:space="preserve">NW Higher-price revenue per customer &gt; Starter</t>
        </is>
      </c>
      <c r="B186" s="11">
        <f>IF(IF(EXACT("Starter","Team"),'Model inputs'!B235*'Model inputs'!B170,IF('Model inputs'!B96="","",'Model inputs'!B96))="",0,IF(EXACT("Starter","Team"),'Model inputs'!B235*'Model inputs'!B170,IF('Model inputs'!B96="","",'Model inputs'!B96)))+'Model inputs'!B75</f>
        <v>5</v>
      </c>
    </row>
    <row r="187" outlineLevel="1">
      <c r="A187" t="inlineStr" s="21">
        <is>
          <t xml:space="preserve">NW Higher-price revenue per customer &gt; Team</t>
        </is>
      </c>
      <c r="B187" s="11">
        <f>IF(IF(EXACT("Team","Team"),'Model inputs'!B235*'Model inputs'!B171,IF('Model inputs'!B97="","",'Model inputs'!B97))="",0,IF(EXACT("Team","Team"),'Model inputs'!B235*'Model inputs'!B171,IF('Model inputs'!B97="","",'Model inputs'!B97)))+'Model inputs'!B76</f>
        <v>38</v>
      </c>
    </row>
    <row r="188">
      <c r="A188" t="inlineStr" s="20">
        <is>
          <t xml:space="preserve">NW Incidents on our key per customer</t>
        </is>
      </c>
      <c r="B188" s="7">
        <v>0</v>
      </c>
    </row>
    <row r="189" outlineLevel="1">
      <c r="A189" t="inlineStr" s="21">
        <is>
          <t xml:space="preserve">NW Incidents on our key per customer &gt; Business</t>
        </is>
      </c>
      <c r="B189" s="9">
        <f>300</f>
        <v>300</v>
      </c>
    </row>
    <row r="190" outlineLevel="1">
      <c r="A190" t="inlineStr" s="21">
        <is>
          <t xml:space="preserve">NW Incidents on our key per customer &gt; Community</t>
        </is>
      </c>
      <c r="B190" s="9">
        <f>0</f>
        <v>0</v>
      </c>
    </row>
    <row r="191" outlineLevel="1">
      <c r="A191" t="inlineStr" s="21">
        <is>
          <t xml:space="preserve">NW Incidents on our key per customer &gt; Starter</t>
        </is>
      </c>
      <c r="B191" s="9">
        <f>0</f>
        <v>0</v>
      </c>
    </row>
    <row r="192" outlineLevel="1">
      <c r="A192" t="inlineStr" s="21">
        <is>
          <t xml:space="preserve">NW Incidents on our key per customer &gt; Team</t>
        </is>
      </c>
      <c r="B192" s="9">
        <f>80</f>
        <v>80</v>
      </c>
    </row>
    <row r="193">
      <c r="A193" t="inlineStr" s="20">
        <is>
          <t xml:space="preserve">NW Marketing · NW Fixed operating costs · Low-price monthly forecast</t>
        </is>
      </c>
      <c r="B193" s="11">
        <f>300</f>
        <v>300</v>
      </c>
    </row>
    <row r="194">
      <c r="A194" t="inlineStr" s="20">
        <is>
          <t xml:space="preserve">NW Model cost per incident · NW Blended gross profit</t>
        </is>
      </c>
      <c r="B194" s="11">
        <f>0.06</f>
        <v>0.06</v>
      </c>
    </row>
    <row r="195">
      <c r="A195" t="inlineStr" s="20">
        <is>
          <t xml:space="preserve">NW Other fixed costs · NW Fixed operating costs · Low-price monthly forecast</t>
        </is>
      </c>
      <c r="B195" s="11">
        <f>200</f>
        <v>200</v>
      </c>
    </row>
    <row r="196">
      <c r="A196" t="inlineStr" s="20">
        <is>
          <t xml:space="preserve">NW Overage price · NW Blended gross profit</t>
        </is>
      </c>
      <c r="B196" s="11">
        <f>0.12</f>
        <v>0.12</v>
      </c>
    </row>
    <row r="197">
      <c r="A197" t="inlineStr" s="20">
        <is>
          <t xml:space="preserve">NW Payment fee rate · NW Blended gross profit</t>
        </is>
      </c>
      <c r="B197" s="23">
        <f>0.05</f>
        <v>0.05</v>
      </c>
    </row>
    <row r="198">
      <c r="A198" t="inlineStr" s="20">
        <is>
          <t xml:space="preserve">NW Price per environment</t>
        </is>
      </c>
      <c r="B198" s="10">
        <v>0</v>
      </c>
    </row>
    <row r="199" outlineLevel="1">
      <c r="A199" t="inlineStr" s="21">
        <is>
          <t xml:space="preserve">NW Price per environment &gt; Business</t>
        </is>
      </c>
      <c r="B199" s="11">
        <f>39</f>
        <v>39</v>
      </c>
    </row>
    <row r="200" outlineLevel="1">
      <c r="A200" t="inlineStr" s="21">
        <is>
          <t xml:space="preserve">NW Price per environment &gt; Community</t>
        </is>
      </c>
      <c r="B200" s="11">
        <f>0</f>
        <v>0</v>
      </c>
    </row>
    <row r="201" outlineLevel="1">
      <c r="A201" t="inlineStr" s="21">
        <is>
          <t xml:space="preserve">NW Price per environment &gt; Starter</t>
        </is>
      </c>
      <c r="B201" s="11">
        <f>5</f>
        <v>5</v>
      </c>
    </row>
    <row r="202" outlineLevel="1">
      <c r="A202" t="inlineStr" s="21">
        <is>
          <t xml:space="preserve">NW Price per environment &gt; Team</t>
        </is>
      </c>
      <c r="B202" s="11">
        <f>15</f>
        <v>15</v>
      </c>
    </row>
    <row r="203">
      <c r="A203" t="inlineStr" s="20">
        <is>
          <t xml:space="preserve">NW Tools · NW Fixed operating costs · Low-price monthly forecast</t>
        </is>
      </c>
      <c r="B203" s="11">
        <f>150</f>
        <v>150</v>
      </c>
    </row>
    <row r="204">
      <c r="A204" t="inlineStr" s="20">
        <is>
          <t xml:space="preserve">NW Trial delivery budget · NW Fixed operating costs · Low-price monthly forecast</t>
        </is>
      </c>
      <c r="B204" s="18">
        <f>0</f>
        <v>0</v>
      </c>
    </row>
    <row r="205">
      <c r="A205" t="inlineStr" s="20">
        <is>
          <t xml:space="preserve">NW Gross profit</t>
        </is>
      </c>
      <c r="C205" s="10">
        <f>SUM('Model inputs'!C206,'Model inputs'!C207,'Model inputs'!C208,'Model inputs'!C209)</f>
        <v>0</v>
      </c>
      <c r="D205" s="10">
        <f>SUM('Model inputs'!D206,'Model inputs'!D207,'Model inputs'!D208,'Model inputs'!D209)</f>
        <v>0</v>
      </c>
      <c r="E205" s="10">
        <f>SUM('Model inputs'!E206,'Model inputs'!E207,'Model inputs'!E208,'Model inputs'!E209)</f>
        <v>0</v>
      </c>
      <c r="F205" s="10">
        <f>SUM('Model inputs'!F206,'Model inputs'!F207,'Model inputs'!F208,'Model inputs'!F209)</f>
        <v>0</v>
      </c>
      <c r="G205" s="10">
        <f>SUM('Model inputs'!G206,'Model inputs'!G207,'Model inputs'!G208,'Model inputs'!G209)</f>
        <v>0</v>
      </c>
      <c r="H205" s="10">
        <f>SUM('Model inputs'!H206,'Model inputs'!H207,'Model inputs'!H208,'Model inputs'!H209)</f>
        <v>0</v>
      </c>
      <c r="I205" s="10">
        <f>SUM('Model inputs'!I206,'Model inputs'!I207,'Model inputs'!I208,'Model inputs'!I209)</f>
        <v>0</v>
      </c>
      <c r="J205" s="10">
        <f>IF('Model inputs'!J34="","",'Model inputs'!J34)</f>
        <v>0</v>
      </c>
      <c r="K205" s="10">
        <f>IF('Model inputs'!K34="","",'Model inputs'!K34)</f>
        <v>0</v>
      </c>
      <c r="L205" s="10">
        <f>IF('Model inputs'!L34="","",'Model inputs'!L34)</f>
        <v>814.8999999999999</v>
      </c>
      <c r="M205" s="10">
        <f>IF('Model inputs'!M34="","",'Model inputs'!M34)</f>
        <v>1597.204</v>
      </c>
      <c r="N205" s="10">
        <f>IF('Model inputs'!N34="","",'Model inputs'!N34)</f>
        <v>2348.21584</v>
      </c>
      <c r="O205" s="10">
        <f>IF('Model inputs'!O34="","",'Model inputs'!O34)</f>
        <v>3069.1872064</v>
      </c>
      <c r="P205" s="10">
        <f>IF('Model inputs'!P34="","",'Model inputs'!P34)</f>
        <v>3761.319718144</v>
      </c>
      <c r="Q205" s="10">
        <f>IF('Model inputs'!Q34="","",'Model inputs'!Q34)</f>
        <v>4425.76692941824</v>
      </c>
      <c r="R205" s="10">
        <f>IF('Model inputs'!R34="","",'Model inputs'!R34)</f>
        <v>5063.63625224151</v>
      </c>
      <c r="S205" s="10">
        <f>IF('Model inputs'!S34="","",'Model inputs'!S34)</f>
        <v>5675.9908021518495</v>
      </c>
      <c r="T205" s="10">
        <f>IF('Model inputs'!T34="","",'Model inputs'!T34)</f>
        <v>6263.851170065776</v>
      </c>
      <c r="U205" s="10">
        <f>IF('Model inputs'!U34="","",'Model inputs'!U34)</f>
        <v>6828.197123263144</v>
      </c>
      <c r="V205" s="10">
        <f>IF('Model inputs'!V34="","",'Model inputs'!V34)</f>
        <v>7369.969238332618</v>
      </c>
      <c r="W205" s="10">
        <f>IF('Model inputs'!W34="","",'Model inputs'!W34)</f>
        <v>7890.070468799313</v>
      </c>
      <c r="X205" s="10">
        <f>IF('Model inputs'!X34="","",'Model inputs'!X34)</f>
        <v>8389.367650047341</v>
      </c>
      <c r="Y205" s="10">
        <f>IF('Model inputs'!Y34="","",'Model inputs'!Y34)</f>
        <v>8868.692944045448</v>
      </c>
      <c r="Z205" s="10">
        <f>IF('Model inputs'!Z34="","",'Model inputs'!Z34)</f>
        <v>9328.845226283629</v>
      </c>
      <c r="AA205" s="10">
        <f>IF('Model inputs'!AA34="","",'Model inputs'!AA34)</f>
        <v>9770.591417232283</v>
      </c>
      <c r="AB205" s="10">
        <f>IF('Model inputs'!AB34="","",'Model inputs'!AB34)</f>
        <v>10194.667760542992</v>
      </c>
      <c r="AC205" s="10">
        <f>IF('Model inputs'!AC34="","",'Model inputs'!AC34)</f>
        <v>10601.781050121272</v>
      </c>
    </row>
    <row r="206" outlineLevel="1">
      <c r="A206" t="inlineStr" s="21">
        <is>
          <t xml:space="preserve">NW Gross profit &gt; Business</t>
        </is>
      </c>
      <c r="C206" s="11">
        <f>0</f>
        <v>0</v>
      </c>
      <c r="D206" s="11">
        <f>0</f>
        <v>0</v>
      </c>
      <c r="E206" s="11">
        <f>0</f>
        <v>0</v>
      </c>
      <c r="F206" s="11">
        <f>0</f>
        <v>0</v>
      </c>
      <c r="G206" s="11">
        <f>0</f>
        <v>0</v>
      </c>
      <c r="H206" s="11">
        <f>0</f>
        <v>0</v>
      </c>
      <c r="I206" s="11">
        <f>0</f>
        <v>0</v>
      </c>
      <c r="J206" s="11">
        <f>IF('Model inputs'!J35="","",'Model inputs'!J35)</f>
        <v>0</v>
      </c>
      <c r="K206" s="11">
        <f>IF('Model inputs'!K35="","",'Model inputs'!K35)</f>
        <v>0</v>
      </c>
      <c r="L206" s="11">
        <f>IF('Model inputs'!L35="","",'Model inputs'!L35)</f>
        <v>478.4</v>
      </c>
      <c r="M206" s="11">
        <f>IF('Model inputs'!M35="","",'Model inputs'!M35)</f>
        <v>937.664</v>
      </c>
      <c r="N206" s="11">
        <f>IF('Model inputs'!N35="","",'Model inputs'!N35)</f>
        <v>1378.55744</v>
      </c>
      <c r="O206" s="11">
        <f>IF('Model inputs'!O35="","",'Model inputs'!O35)</f>
        <v>1801.8151424</v>
      </c>
      <c r="P206" s="11">
        <f>IF('Model inputs'!P35="","",'Model inputs'!P35)</f>
        <v>2208.142536704</v>
      </c>
      <c r="Q206" s="11">
        <f>IF('Model inputs'!Q35="","",'Model inputs'!Q35)</f>
        <v>2598.2168352358403</v>
      </c>
      <c r="R206" s="11">
        <f>IF('Model inputs'!R35="","",'Model inputs'!R35)</f>
        <v>2972.6881618264065</v>
      </c>
      <c r="S206" s="11">
        <f>IF('Model inputs'!S35="","",'Model inputs'!S35)</f>
        <v>3332.18063535335</v>
      </c>
      <c r="T206" s="11">
        <f>IF('Model inputs'!T35="","",'Model inputs'!T35)</f>
        <v>3677.2934099392164</v>
      </c>
      <c r="U206" s="11">
        <f>IF('Model inputs'!U35="","",'Model inputs'!U35)</f>
        <v>4008.601673541647</v>
      </c>
      <c r="V206" s="11">
        <f>IF('Model inputs'!V35="","",'Model inputs'!V35)</f>
        <v>4326.657606599982</v>
      </c>
      <c r="W206" s="11">
        <f>IF('Model inputs'!W35="","",'Model inputs'!W35)</f>
        <v>4631.991302335982</v>
      </c>
      <c r="X206" s="11">
        <f>IF('Model inputs'!X35="","",'Model inputs'!X35)</f>
        <v>4925.111650242543</v>
      </c>
      <c r="Y206" s="11">
        <f>IF('Model inputs'!Y35="","",'Model inputs'!Y35)</f>
        <v>5206.507184232842</v>
      </c>
      <c r="Z206" s="11">
        <f>IF('Model inputs'!Z35="","",'Model inputs'!Z35)</f>
        <v>5476.646896863527</v>
      </c>
      <c r="AA206" s="11">
        <f>IF('Model inputs'!AA35="","",'Model inputs'!AA35)</f>
        <v>5735.981020988986</v>
      </c>
      <c r="AB206" s="11">
        <f>IF('Model inputs'!AB35="","",'Model inputs'!AB35)</f>
        <v>5984.941780149426</v>
      </c>
      <c r="AC206" s="11">
        <f>IF('Model inputs'!AC35="","",'Model inputs'!AC35)</f>
        <v>6223.944108943449</v>
      </c>
    </row>
    <row r="207" outlineLevel="1">
      <c r="A207" t="inlineStr" s="21">
        <is>
          <t xml:space="preserve">NW Gross profit &gt; Community</t>
        </is>
      </c>
      <c r="C207" s="11">
        <f>0</f>
        <v>0</v>
      </c>
      <c r="D207" s="11">
        <f>0</f>
        <v>0</v>
      </c>
      <c r="E207" s="11">
        <f>0</f>
        <v>0</v>
      </c>
      <c r="F207" s="11">
        <f>0</f>
        <v>0</v>
      </c>
      <c r="G207" s="11">
        <f>0</f>
        <v>0</v>
      </c>
      <c r="H207" s="11">
        <f>0</f>
        <v>0</v>
      </c>
      <c r="I207" s="11">
        <f>0</f>
        <v>0</v>
      </c>
      <c r="J207" s="11">
        <f>IF('Model inputs'!J36="","",'Model inputs'!J36)</f>
        <v>0</v>
      </c>
      <c r="K207" s="11">
        <f>IF('Model inputs'!K36="","",'Model inputs'!K36)</f>
        <v>0</v>
      </c>
      <c r="L207" s="11">
        <f>IF('Model inputs'!L36="","",'Model inputs'!L36)</f>
        <v>0</v>
      </c>
      <c r="M207" s="11">
        <f>IF('Model inputs'!M36="","",'Model inputs'!M36)</f>
        <v>0</v>
      </c>
      <c r="N207" s="11">
        <f>IF('Model inputs'!N36="","",'Model inputs'!N36)</f>
        <v>0</v>
      </c>
      <c r="O207" s="11">
        <f>IF('Model inputs'!O36="","",'Model inputs'!O36)</f>
        <v>0</v>
      </c>
      <c r="P207" s="11">
        <f>IF('Model inputs'!P36="","",'Model inputs'!P36)</f>
        <v>0</v>
      </c>
      <c r="Q207" s="11">
        <f>IF('Model inputs'!Q36="","",'Model inputs'!Q36)</f>
        <v>0</v>
      </c>
      <c r="R207" s="11">
        <f>IF('Model inputs'!R36="","",'Model inputs'!R36)</f>
        <v>0</v>
      </c>
      <c r="S207" s="11">
        <f>IF('Model inputs'!S36="","",'Model inputs'!S36)</f>
        <v>0</v>
      </c>
      <c r="T207" s="11">
        <f>IF('Model inputs'!T36="","",'Model inputs'!T36)</f>
        <v>0</v>
      </c>
      <c r="U207" s="11">
        <f>IF('Model inputs'!U36="","",'Model inputs'!U36)</f>
        <v>0</v>
      </c>
      <c r="V207" s="11">
        <f>IF('Model inputs'!V36="","",'Model inputs'!V36)</f>
        <v>0</v>
      </c>
      <c r="W207" s="11">
        <f>IF('Model inputs'!W36="","",'Model inputs'!W36)</f>
        <v>0</v>
      </c>
      <c r="X207" s="11">
        <f>IF('Model inputs'!X36="","",'Model inputs'!X36)</f>
        <v>0</v>
      </c>
      <c r="Y207" s="11">
        <f>IF('Model inputs'!Y36="","",'Model inputs'!Y36)</f>
        <v>0</v>
      </c>
      <c r="Z207" s="11">
        <f>IF('Model inputs'!Z36="","",'Model inputs'!Z36)</f>
        <v>0</v>
      </c>
      <c r="AA207" s="11">
        <f>IF('Model inputs'!AA36="","",'Model inputs'!AA36)</f>
        <v>0</v>
      </c>
      <c r="AB207" s="11">
        <f>IF('Model inputs'!AB36="","",'Model inputs'!AB36)</f>
        <v>0</v>
      </c>
      <c r="AC207" s="11">
        <f>IF('Model inputs'!AC36="","",'Model inputs'!AC36)</f>
        <v>0</v>
      </c>
    </row>
    <row r="208" outlineLevel="1">
      <c r="A208" t="inlineStr" s="21">
        <is>
          <t xml:space="preserve">NW Gross profit &gt; Starter</t>
        </is>
      </c>
      <c r="C208" s="11">
        <f>0</f>
        <v>0</v>
      </c>
      <c r="D208" s="11">
        <f>0</f>
        <v>0</v>
      </c>
      <c r="E208" s="11">
        <f>0</f>
        <v>0</v>
      </c>
      <c r="F208" s="11">
        <f>0</f>
        <v>0</v>
      </c>
      <c r="G208" s="11">
        <f>0</f>
        <v>0</v>
      </c>
      <c r="H208" s="11">
        <f>0</f>
        <v>0</v>
      </c>
      <c r="I208" s="11">
        <f>0</f>
        <v>0</v>
      </c>
      <c r="J208" s="11">
        <f>IF('Model inputs'!J37="","",'Model inputs'!J37)</f>
        <v>0</v>
      </c>
      <c r="K208" s="11">
        <f>IF('Model inputs'!K37="","",'Model inputs'!K37)</f>
        <v>0</v>
      </c>
      <c r="L208" s="11">
        <f>IF('Model inputs'!L37="","",'Model inputs'!L37)</f>
        <v>64.89999999999999</v>
      </c>
      <c r="M208" s="11">
        <f>IF('Model inputs'!M37="","",'Model inputs'!M37)</f>
        <v>127.20399999999998</v>
      </c>
      <c r="N208" s="11">
        <f>IF('Model inputs'!N37="","",'Model inputs'!N37)</f>
        <v>187.01584</v>
      </c>
      <c r="O208" s="11">
        <f>IF('Model inputs'!O37="","",'Model inputs'!O37)</f>
        <v>244.43520639999997</v>
      </c>
      <c r="P208" s="11">
        <f>IF('Model inputs'!P37="","",'Model inputs'!P37)</f>
        <v>299.557798144</v>
      </c>
      <c r="Q208" s="11">
        <f>IF('Model inputs'!Q37="","",'Model inputs'!Q37)</f>
        <v>352.47548621823995</v>
      </c>
      <c r="R208" s="11">
        <f>IF('Model inputs'!R37="","",'Model inputs'!R37)</f>
        <v>403.27646676951036</v>
      </c>
      <c r="S208" s="11">
        <f>IF('Model inputs'!S37="","",'Model inputs'!S37)</f>
        <v>452.04540809873</v>
      </c>
      <c r="T208" s="11">
        <f>IF('Model inputs'!T37="","",'Model inputs'!T37)</f>
        <v>498.86359177478073</v>
      </c>
      <c r="U208" s="11">
        <f>IF('Model inputs'!U37="","",'Model inputs'!U37)</f>
        <v>543.8090481037895</v>
      </c>
      <c r="V208" s="11">
        <f>IF('Model inputs'!V37="","",'Model inputs'!V37)</f>
        <v>586.9566861796379</v>
      </c>
      <c r="W208" s="11">
        <f>IF('Model inputs'!W37="","",'Model inputs'!W37)</f>
        <v>628.3784187324524</v>
      </c>
      <c r="X208" s="11">
        <f>IF('Model inputs'!X37="","",'Model inputs'!X37)</f>
        <v>668.1432819831542</v>
      </c>
      <c r="Y208" s="11">
        <f>IF('Model inputs'!Y37="","",'Model inputs'!Y37)</f>
        <v>706.317550703828</v>
      </c>
      <c r="Z208" s="11">
        <f>IF('Model inputs'!Z37="","",'Model inputs'!Z37)</f>
        <v>742.964848675675</v>
      </c>
      <c r="AA208" s="11">
        <f>IF('Model inputs'!AA37="","",'Model inputs'!AA37)</f>
        <v>778.1462547286479</v>
      </c>
      <c r="AB208" s="11">
        <f>IF('Model inputs'!AB37="","",'Model inputs'!AB37)</f>
        <v>811.9204045395019</v>
      </c>
      <c r="AC208" s="11">
        <f>IF('Model inputs'!AC37="","",'Model inputs'!AC37)</f>
        <v>844.3435883579219</v>
      </c>
    </row>
    <row r="209" outlineLevel="1">
      <c r="A209" t="inlineStr" s="21">
        <is>
          <t xml:space="preserve">NW Gross profit &gt; Team</t>
        </is>
      </c>
      <c r="C209" s="11">
        <f>0</f>
        <v>0</v>
      </c>
      <c r="D209" s="11">
        <f>0</f>
        <v>0</v>
      </c>
      <c r="E209" s="11">
        <f>0</f>
        <v>0</v>
      </c>
      <c r="F209" s="11">
        <f>0</f>
        <v>0</v>
      </c>
      <c r="G209" s="11">
        <f>0</f>
        <v>0</v>
      </c>
      <c r="H209" s="11">
        <f>0</f>
        <v>0</v>
      </c>
      <c r="I209" s="11">
        <f>0</f>
        <v>0</v>
      </c>
      <c r="J209" s="11">
        <f>IF('Model inputs'!J38="","",'Model inputs'!J38)</f>
        <v>0</v>
      </c>
      <c r="K209" s="11">
        <f>IF('Model inputs'!K38="","",'Model inputs'!K38)</f>
        <v>0</v>
      </c>
      <c r="L209" s="11">
        <f>IF('Model inputs'!L38="","",'Model inputs'!L38)</f>
        <v>271.59999999999997</v>
      </c>
      <c r="M209" s="11">
        <f>IF('Model inputs'!M38="","",'Model inputs'!M38)</f>
        <v>532.336</v>
      </c>
      <c r="N209" s="11">
        <f>IF('Model inputs'!N38="","",'Model inputs'!N38)</f>
        <v>782.6425599999999</v>
      </c>
      <c r="O209" s="11">
        <f>IF('Model inputs'!O38="","",'Model inputs'!O38)</f>
        <v>1022.9368575999999</v>
      </c>
      <c r="P209" s="11">
        <f>IF('Model inputs'!P38="","",'Model inputs'!P38)</f>
        <v>1253.6193832959998</v>
      </c>
      <c r="Q209" s="11">
        <f>IF('Model inputs'!Q38="","",'Model inputs'!Q38)</f>
        <v>1475.07460796416</v>
      </c>
      <c r="R209" s="11">
        <f>IF('Model inputs'!R38="","",'Model inputs'!R38)</f>
        <v>1687.6716236455934</v>
      </c>
      <c r="S209" s="11">
        <f>IF('Model inputs'!S38="","",'Model inputs'!S38)</f>
        <v>1891.7647586997696</v>
      </c>
      <c r="T209" s="11">
        <f>IF('Model inputs'!T38="","",'Model inputs'!T38)</f>
        <v>2087.694168351779</v>
      </c>
      <c r="U209" s="11">
        <f>IF('Model inputs'!U38="","",'Model inputs'!U38)</f>
        <v>2275.7864016177077</v>
      </c>
      <c r="V209" s="11">
        <f>IF('Model inputs'!V38="","",'Model inputs'!V38)</f>
        <v>2456.354945552999</v>
      </c>
      <c r="W209" s="11">
        <f>IF('Model inputs'!W38="","",'Model inputs'!W38)</f>
        <v>2629.700747730879</v>
      </c>
      <c r="X209" s="11">
        <f>IF('Model inputs'!X38="","",'Model inputs'!X38)</f>
        <v>2796.112717821644</v>
      </c>
      <c r="Y209" s="11">
        <f>IF('Model inputs'!Y38="","",'Model inputs'!Y38)</f>
        <v>2955.868209108778</v>
      </c>
      <c r="Z209" s="11">
        <f>IF('Model inputs'!Z38="","",'Model inputs'!Z38)</f>
        <v>3109.2334807444267</v>
      </c>
      <c r="AA209" s="11">
        <f>IF('Model inputs'!AA38="","",'Model inputs'!AA38)</f>
        <v>3256.46414151465</v>
      </c>
      <c r="AB209" s="11">
        <f>IF('Model inputs'!AB38="","",'Model inputs'!AB38)</f>
        <v>3397.8055758540636</v>
      </c>
      <c r="AC209" s="11">
        <f>IF('Model inputs'!AC38="","",'Model inputs'!AC38)</f>
        <v>3533.4933528199012</v>
      </c>
    </row>
    <row r="210">
      <c r="A210" t="inlineStr" s="20">
        <is>
          <t xml:space="preserve">NW Paying customers</t>
        </is>
      </c>
      <c r="C210" s="7">
        <f>SUM('Model inputs'!C211,'Model inputs'!C212,'Model inputs'!C213,'Model inputs'!C214)</f>
        <v>0</v>
      </c>
      <c r="D210" s="7">
        <f>SUM('Model inputs'!D211,'Model inputs'!D212,'Model inputs'!D213,'Model inputs'!D214)</f>
        <v>0</v>
      </c>
      <c r="E210" s="7">
        <f>SUM('Model inputs'!E211,'Model inputs'!E212,'Model inputs'!E213,'Model inputs'!E214)</f>
        <v>0</v>
      </c>
      <c r="F210" s="7">
        <f>SUM('Model inputs'!F211,'Model inputs'!F212,'Model inputs'!F213,'Model inputs'!F214)</f>
        <v>0</v>
      </c>
      <c r="G210" s="7">
        <f>SUM('Model inputs'!G211,'Model inputs'!G212,'Model inputs'!G213,'Model inputs'!G214)</f>
        <v>0</v>
      </c>
      <c r="H210" s="7">
        <f>SUM('Model inputs'!H211,'Model inputs'!H212,'Model inputs'!H213,'Model inputs'!H214)</f>
        <v>0</v>
      </c>
      <c r="I210" s="7">
        <f>SUM('Model inputs'!I211,'Model inputs'!I212,'Model inputs'!I213,'Model inputs'!I214)</f>
        <v>0</v>
      </c>
      <c r="J210" s="7">
        <f>IF('Model inputs'!J77="","",'Model inputs'!J77)</f>
        <v>0</v>
      </c>
      <c r="K210" s="7">
        <f>IF('Model inputs'!K77="","",'Model inputs'!K77)</f>
        <v>0</v>
      </c>
      <c r="L210" s="7">
        <f>IF('Model inputs'!L77="","",'Model inputs'!L77)</f>
        <v>40</v>
      </c>
      <c r="M210" s="7">
        <f>IF('Model inputs'!M77="","",'Model inputs'!M77)</f>
        <v>78.4</v>
      </c>
      <c r="N210" s="7">
        <f>IF('Model inputs'!N77="","",'Model inputs'!N77)</f>
        <v>115.26400000000001</v>
      </c>
      <c r="O210" s="7">
        <f>IF('Model inputs'!O77="","",'Model inputs'!O77)</f>
        <v>150.65344</v>
      </c>
      <c r="P210" s="7">
        <f>IF('Model inputs'!P77="","",'Model inputs'!P77)</f>
        <v>184.6273024</v>
      </c>
      <c r="Q210" s="7">
        <f>IF('Model inputs'!Q77="","",'Model inputs'!Q77)</f>
        <v>217.242210304</v>
      </c>
      <c r="R210" s="7">
        <f>IF('Model inputs'!R77="","",'Model inputs'!R77)</f>
        <v>248.55252189184</v>
      </c>
      <c r="S210" s="7">
        <f>IF('Model inputs'!S77="","",'Model inputs'!S77)</f>
        <v>278.6104210161664</v>
      </c>
      <c r="T210" s="7">
        <f>IF('Model inputs'!T77="","",'Model inputs'!T77)</f>
        <v>307.46600417551974</v>
      </c>
      <c r="U210" s="7">
        <f>IF('Model inputs'!U77="","",'Model inputs'!U77)</f>
        <v>335.1673640084989</v>
      </c>
      <c r="V210" s="7">
        <f>IF('Model inputs'!V77="","",'Model inputs'!V77)</f>
        <v>361.760669448159</v>
      </c>
      <c r="W210" s="7">
        <f>IF('Model inputs'!W77="","",'Model inputs'!W77)</f>
        <v>387.2902426702326</v>
      </c>
      <c r="X210" s="7">
        <f>IF('Model inputs'!X77="","",'Model inputs'!X77)</f>
        <v>411.7986329634233</v>
      </c>
      <c r="Y210" s="7">
        <f>IF('Model inputs'!Y77="","",'Model inputs'!Y77)</f>
        <v>435.32668764488636</v>
      </c>
      <c r="Z210" s="7">
        <f>IF('Model inputs'!Z77="","",'Model inputs'!Z77)</f>
        <v>457.9136201390909</v>
      </c>
      <c r="AA210" s="7">
        <f>IF('Model inputs'!AA77="","",'Model inputs'!AA77)</f>
        <v>479.5970753335273</v>
      </c>
      <c r="AB210" s="7">
        <f>IF('Model inputs'!AB77="","",'Model inputs'!AB77)</f>
        <v>500.4131923201861</v>
      </c>
      <c r="AC210" s="7">
        <f>IF('Model inputs'!AC77="","",'Model inputs'!AC77)</f>
        <v>520.3966646273786</v>
      </c>
    </row>
    <row r="211" outlineLevel="1">
      <c r="A211" t="inlineStr" s="21">
        <is>
          <t xml:space="preserve">NW Paying customers &gt; Business</t>
        </is>
      </c>
      <c r="C211" s="9">
        <f>0</f>
        <v>0</v>
      </c>
      <c r="D211" s="9">
        <f>0</f>
        <v>0</v>
      </c>
      <c r="E211" s="9">
        <f>0</f>
        <v>0</v>
      </c>
      <c r="F211" s="9">
        <f>0</f>
        <v>0</v>
      </c>
      <c r="G211" s="9">
        <f>0</f>
        <v>0</v>
      </c>
      <c r="H211" s="9">
        <f>0</f>
        <v>0</v>
      </c>
      <c r="I211" s="9">
        <f>0</f>
        <v>0</v>
      </c>
      <c r="J211" s="9">
        <f>IF('Model inputs'!J78="","",'Model inputs'!J78)</f>
        <v>0</v>
      </c>
      <c r="K211" s="9">
        <f>IF('Model inputs'!K78="","",'Model inputs'!K78)</f>
        <v>0</v>
      </c>
      <c r="L211" s="9">
        <f>IF('Model inputs'!L78="","",'Model inputs'!L78)</f>
        <v>4</v>
      </c>
      <c r="M211" s="9">
        <f>IF('Model inputs'!M78="","",'Model inputs'!M78)</f>
        <v>7.84</v>
      </c>
      <c r="N211" s="9">
        <f>IF('Model inputs'!N78="","",'Model inputs'!N78)</f>
        <v>11.5264</v>
      </c>
      <c r="O211" s="9">
        <f>IF('Model inputs'!O78="","",'Model inputs'!O78)</f>
        <v>15.065344000000001</v>
      </c>
      <c r="P211" s="9">
        <f>IF('Model inputs'!P78="","",'Model inputs'!P78)</f>
        <v>18.462730240000003</v>
      </c>
      <c r="Q211" s="9">
        <f>IF('Model inputs'!Q78="","",'Model inputs'!Q78)</f>
        <v>21.724221030400003</v>
      </c>
      <c r="R211" s="9">
        <f>IF('Model inputs'!R78="","",'Model inputs'!R78)</f>
        <v>24.855252189184004</v>
      </c>
      <c r="S211" s="9">
        <f>IF('Model inputs'!S78="","",'Model inputs'!S78)</f>
        <v>27.861042101616643</v>
      </c>
      <c r="T211" s="9">
        <f>IF('Model inputs'!T78="","",'Model inputs'!T78)</f>
        <v>30.746600417551978</v>
      </c>
      <c r="U211" s="9">
        <f>IF('Model inputs'!U78="","",'Model inputs'!U78)</f>
        <v>33.516736400849894</v>
      </c>
      <c r="V211" s="9">
        <f>IF('Model inputs'!V78="","",'Model inputs'!V78)</f>
        <v>36.1760669448159</v>
      </c>
      <c r="W211" s="9">
        <f>IF('Model inputs'!W78="","",'Model inputs'!W78)</f>
        <v>38.72902426702326</v>
      </c>
      <c r="X211" s="9">
        <f>IF('Model inputs'!X78="","",'Model inputs'!X78)</f>
        <v>41.17986329634233</v>
      </c>
      <c r="Y211" s="9">
        <f>IF('Model inputs'!Y78="","",'Model inputs'!Y78)</f>
        <v>43.53266876448864</v>
      </c>
      <c r="Z211" s="9">
        <f>IF('Model inputs'!Z78="","",'Model inputs'!Z78)</f>
        <v>45.791362013909094</v>
      </c>
      <c r="AA211" s="9">
        <f>IF('Model inputs'!AA78="","",'Model inputs'!AA78)</f>
        <v>47.95970753335273</v>
      </c>
      <c r="AB211" s="9">
        <f>IF('Model inputs'!AB78="","",'Model inputs'!AB78)</f>
        <v>50.041319232018616</v>
      </c>
      <c r="AC211" s="9">
        <f>IF('Model inputs'!AC78="","",'Model inputs'!AC78)</f>
        <v>52.03966646273787</v>
      </c>
    </row>
    <row r="212" outlineLevel="1">
      <c r="A212" t="inlineStr" s="21">
        <is>
          <t xml:space="preserve">NW Paying customers &gt; Community</t>
        </is>
      </c>
      <c r="C212" s="9">
        <f>0</f>
        <v>0</v>
      </c>
      <c r="D212" s="9">
        <f>0</f>
        <v>0</v>
      </c>
      <c r="E212" s="9">
        <f>0</f>
        <v>0</v>
      </c>
      <c r="F212" s="9">
        <f>0</f>
        <v>0</v>
      </c>
      <c r="G212" s="9">
        <f>0</f>
        <v>0</v>
      </c>
      <c r="H212" s="9">
        <f>0</f>
        <v>0</v>
      </c>
      <c r="I212" s="9">
        <f>0</f>
        <v>0</v>
      </c>
      <c r="J212" s="9">
        <f>IF('Model inputs'!J79="","",'Model inputs'!J79)</f>
        <v>0</v>
      </c>
      <c r="K212" s="9">
        <f>IF('Model inputs'!K79="","",'Model inputs'!K79)</f>
        <v>0</v>
      </c>
      <c r="L212" s="9">
        <f>IF('Model inputs'!L79="","",'Model inputs'!L79)</f>
        <v>0</v>
      </c>
      <c r="M212" s="9">
        <f>IF('Model inputs'!M79="","",'Model inputs'!M79)</f>
        <v>0</v>
      </c>
      <c r="N212" s="9">
        <f>IF('Model inputs'!N79="","",'Model inputs'!N79)</f>
        <v>0</v>
      </c>
      <c r="O212" s="9">
        <f>IF('Model inputs'!O79="","",'Model inputs'!O79)</f>
        <v>0</v>
      </c>
      <c r="P212" s="9">
        <f>IF('Model inputs'!P79="","",'Model inputs'!P79)</f>
        <v>0</v>
      </c>
      <c r="Q212" s="9">
        <f>IF('Model inputs'!Q79="","",'Model inputs'!Q79)</f>
        <v>0</v>
      </c>
      <c r="R212" s="9">
        <f>IF('Model inputs'!R79="","",'Model inputs'!R79)</f>
        <v>0</v>
      </c>
      <c r="S212" s="9">
        <f>IF('Model inputs'!S79="","",'Model inputs'!S79)</f>
        <v>0</v>
      </c>
      <c r="T212" s="9">
        <f>IF('Model inputs'!T79="","",'Model inputs'!T79)</f>
        <v>0</v>
      </c>
      <c r="U212" s="9">
        <f>IF('Model inputs'!U79="","",'Model inputs'!U79)</f>
        <v>0</v>
      </c>
      <c r="V212" s="9">
        <f>IF('Model inputs'!V79="","",'Model inputs'!V79)</f>
        <v>0</v>
      </c>
      <c r="W212" s="9">
        <f>IF('Model inputs'!W79="","",'Model inputs'!W79)</f>
        <v>0</v>
      </c>
      <c r="X212" s="9">
        <f>IF('Model inputs'!X79="","",'Model inputs'!X79)</f>
        <v>0</v>
      </c>
      <c r="Y212" s="9">
        <f>IF('Model inputs'!Y79="","",'Model inputs'!Y79)</f>
        <v>0</v>
      </c>
      <c r="Z212" s="9">
        <f>IF('Model inputs'!Z79="","",'Model inputs'!Z79)</f>
        <v>0</v>
      </c>
      <c r="AA212" s="9">
        <f>IF('Model inputs'!AA79="","",'Model inputs'!AA79)</f>
        <v>0</v>
      </c>
      <c r="AB212" s="9">
        <f>IF('Model inputs'!AB79="","",'Model inputs'!AB79)</f>
        <v>0</v>
      </c>
      <c r="AC212" s="9">
        <f>IF('Model inputs'!AC79="","",'Model inputs'!AC79)</f>
        <v>0</v>
      </c>
    </row>
    <row r="213" outlineLevel="1">
      <c r="A213" t="inlineStr" s="21">
        <is>
          <t xml:space="preserve">NW Paying customers &gt; Starter</t>
        </is>
      </c>
      <c r="C213" s="9">
        <f>0</f>
        <v>0</v>
      </c>
      <c r="D213" s="9">
        <f>0</f>
        <v>0</v>
      </c>
      <c r="E213" s="9">
        <f>0</f>
        <v>0</v>
      </c>
      <c r="F213" s="9">
        <f>0</f>
        <v>0</v>
      </c>
      <c r="G213" s="9">
        <f>0</f>
        <v>0</v>
      </c>
      <c r="H213" s="9">
        <f>0</f>
        <v>0</v>
      </c>
      <c r="I213" s="9">
        <f>0</f>
        <v>0</v>
      </c>
      <c r="J213" s="9">
        <f>IF('Model inputs'!J80="","",'Model inputs'!J80)</f>
        <v>0</v>
      </c>
      <c r="K213" s="9">
        <f>IF('Model inputs'!K80="","",'Model inputs'!K80)</f>
        <v>0</v>
      </c>
      <c r="L213" s="9">
        <f>IF('Model inputs'!L80="","",'Model inputs'!L80)</f>
        <v>22</v>
      </c>
      <c r="M213" s="9">
        <f>IF('Model inputs'!M80="","",'Model inputs'!M80)</f>
        <v>43.12</v>
      </c>
      <c r="N213" s="9">
        <f>IF('Model inputs'!N80="","",'Model inputs'!N80)</f>
        <v>63.3952</v>
      </c>
      <c r="O213" s="9">
        <f>IF('Model inputs'!O80="","",'Model inputs'!O80)</f>
        <v>82.859392</v>
      </c>
      <c r="P213" s="9">
        <f>IF('Model inputs'!P80="","",'Model inputs'!P80)</f>
        <v>101.54501632</v>
      </c>
      <c r="Q213" s="9">
        <f>IF('Model inputs'!Q80="","",'Model inputs'!Q80)</f>
        <v>119.4832156672</v>
      </c>
      <c r="R213" s="9">
        <f>IF('Model inputs'!R80="","",'Model inputs'!R80)</f>
        <v>136.703887040512</v>
      </c>
      <c r="S213" s="9">
        <f>IF('Model inputs'!S80="","",'Model inputs'!S80)</f>
        <v>153.23573155889153</v>
      </c>
      <c r="T213" s="9">
        <f>IF('Model inputs'!T80="","",'Model inputs'!T80)</f>
        <v>169.10630229653586</v>
      </c>
      <c r="U213" s="9">
        <f>IF('Model inputs'!U80="","",'Model inputs'!U80)</f>
        <v>184.34205020467442</v>
      </c>
      <c r="V213" s="9">
        <f>IF('Model inputs'!V80="","",'Model inputs'!V80)</f>
        <v>198.96836819648743</v>
      </c>
      <c r="W213" s="9">
        <f>IF('Model inputs'!W80="","",'Model inputs'!W80)</f>
        <v>213.00963346862792</v>
      </c>
      <c r="X213" s="9">
        <f>IF('Model inputs'!X80="","",'Model inputs'!X80)</f>
        <v>226.4892481298828</v>
      </c>
      <c r="Y213" s="9">
        <f>IF('Model inputs'!Y80="","",'Model inputs'!Y80)</f>
        <v>239.4296782046875</v>
      </c>
      <c r="Z213" s="9">
        <f>IF('Model inputs'!Z80="","",'Model inputs'!Z80)</f>
        <v>251.8524910765</v>
      </c>
      <c r="AA213" s="9">
        <f>IF('Model inputs'!AA80="","",'Model inputs'!AA80)</f>
        <v>263.77839143344</v>
      </c>
      <c r="AB213" s="9">
        <f>IF('Model inputs'!AB80="","",'Model inputs'!AB80)</f>
        <v>275.22725577610237</v>
      </c>
      <c r="AC213" s="9">
        <f>IF('Model inputs'!AC80="","",'Model inputs'!AC80)</f>
        <v>286.2181655450583</v>
      </c>
    </row>
    <row r="214" outlineLevel="1">
      <c r="A214" t="inlineStr" s="21">
        <is>
          <t xml:space="preserve">NW Paying customers &gt; Team</t>
        </is>
      </c>
      <c r="C214" s="9">
        <f>0</f>
        <v>0</v>
      </c>
      <c r="D214" s="9">
        <f>0</f>
        <v>0</v>
      </c>
      <c r="E214" s="9">
        <f>0</f>
        <v>0</v>
      </c>
      <c r="F214" s="9">
        <f>0</f>
        <v>0</v>
      </c>
      <c r="G214" s="9">
        <f>0</f>
        <v>0</v>
      </c>
      <c r="H214" s="9">
        <f>0</f>
        <v>0</v>
      </c>
      <c r="I214" s="9">
        <f>0</f>
        <v>0</v>
      </c>
      <c r="J214" s="9">
        <f>IF('Model inputs'!J81="","",'Model inputs'!J81)</f>
        <v>0</v>
      </c>
      <c r="K214" s="9">
        <f>IF('Model inputs'!K81="","",'Model inputs'!K81)</f>
        <v>0</v>
      </c>
      <c r="L214" s="9">
        <f>IF('Model inputs'!L81="","",'Model inputs'!L81)</f>
        <v>14</v>
      </c>
      <c r="M214" s="9">
        <f>IF('Model inputs'!M81="","",'Model inputs'!M81)</f>
        <v>27.44</v>
      </c>
      <c r="N214" s="9">
        <f>IF('Model inputs'!N81="","",'Model inputs'!N81)</f>
        <v>40.3424</v>
      </c>
      <c r="O214" s="9">
        <f>IF('Model inputs'!O81="","",'Model inputs'!O81)</f>
        <v>52.728704</v>
      </c>
      <c r="P214" s="9">
        <f>IF('Model inputs'!P81="","",'Model inputs'!P81)</f>
        <v>64.61955583999999</v>
      </c>
      <c r="Q214" s="9">
        <f>IF('Model inputs'!Q81="","",'Model inputs'!Q81)</f>
        <v>76.0347736064</v>
      </c>
      <c r="R214" s="9">
        <f>IF('Model inputs'!R81="","",'Model inputs'!R81)</f>
        <v>86.993382662144</v>
      </c>
      <c r="S214" s="9">
        <f>IF('Model inputs'!S81="","",'Model inputs'!S81)</f>
        <v>97.51364735565824</v>
      </c>
      <c r="T214" s="9">
        <f>IF('Model inputs'!T81="","",'Model inputs'!T81)</f>
        <v>107.61310146143191</v>
      </c>
      <c r="U214" s="9">
        <f>IF('Model inputs'!U81="","",'Model inputs'!U81)</f>
        <v>117.30857740297463</v>
      </c>
      <c r="V214" s="9">
        <f>IF('Model inputs'!V81="","",'Model inputs'!V81)</f>
        <v>126.61623430685565</v>
      </c>
      <c r="W214" s="9">
        <f>IF('Model inputs'!W81="","",'Model inputs'!W81)</f>
        <v>135.5515849345814</v>
      </c>
      <c r="X214" s="9">
        <f>IF('Model inputs'!X81="","",'Model inputs'!X81)</f>
        <v>144.12952153719814</v>
      </c>
      <c r="Y214" s="9">
        <f>IF('Model inputs'!Y81="","",'Model inputs'!Y81)</f>
        <v>152.36434067571022</v>
      </c>
      <c r="Z214" s="9">
        <f>IF('Model inputs'!Z81="","",'Model inputs'!Z81)</f>
        <v>160.2697670486818</v>
      </c>
      <c r="AA214" s="9">
        <f>IF('Model inputs'!AA81="","",'Model inputs'!AA81)</f>
        <v>167.85897636673454</v>
      </c>
      <c r="AB214" s="9">
        <f>IF('Model inputs'!AB81="","",'Model inputs'!AB81)</f>
        <v>175.14461731206515</v>
      </c>
      <c r="AC214" s="9">
        <f>IF('Model inputs'!AC81="","",'Model inputs'!AC81)</f>
        <v>182.13883261958256</v>
      </c>
    </row>
    <row r="215">
      <c r="A215" t="inlineStr" s="20">
        <is>
          <t xml:space="preserve">NW New customers</t>
        </is>
      </c>
      <c r="C215" s="7">
        <f>SUM('Model inputs'!C216,'Model inputs'!C217,'Model inputs'!C218,'Model inputs'!C219)</f>
        <v>0</v>
      </c>
      <c r="D215" s="7">
        <f>SUM('Model inputs'!D216,'Model inputs'!D217,'Model inputs'!D218,'Model inputs'!D219)</f>
        <v>0</v>
      </c>
      <c r="E215" s="7">
        <f>SUM('Model inputs'!E216,'Model inputs'!E217,'Model inputs'!E218,'Model inputs'!E219)</f>
        <v>0</v>
      </c>
      <c r="F215" s="7">
        <f>SUM('Model inputs'!F216,'Model inputs'!F217,'Model inputs'!F218,'Model inputs'!F219)</f>
        <v>0</v>
      </c>
      <c r="G215" s="7">
        <f>SUM('Model inputs'!G216,'Model inputs'!G217,'Model inputs'!G218,'Model inputs'!G219)</f>
        <v>0</v>
      </c>
      <c r="H215" s="7">
        <f>SUM('Model inputs'!H216,'Model inputs'!H217,'Model inputs'!H218,'Model inputs'!H219)</f>
        <v>0</v>
      </c>
      <c r="I215" s="7">
        <f>SUM('Model inputs'!I216,'Model inputs'!I217,'Model inputs'!I218,'Model inputs'!I219)</f>
        <v>0</v>
      </c>
      <c r="J215" s="7">
        <f>IF('Model inputs'!J60="","",'Model inputs'!J60)</f>
        <v>0</v>
      </c>
      <c r="K215" s="7">
        <f>IF('Model inputs'!K60="","",'Model inputs'!K60)</f>
        <v>0</v>
      </c>
      <c r="L215" s="7">
        <f>IF('Model inputs'!L60="","",'Model inputs'!L60)</f>
        <v>40</v>
      </c>
      <c r="M215" s="7">
        <f>IF('Model inputs'!M60="","",'Model inputs'!M60)</f>
        <v>40</v>
      </c>
      <c r="N215" s="7">
        <f>IF('Model inputs'!N60="","",'Model inputs'!N60)</f>
        <v>40</v>
      </c>
      <c r="O215" s="7">
        <f>IF('Model inputs'!O60="","",'Model inputs'!O60)</f>
        <v>40</v>
      </c>
      <c r="P215" s="7">
        <f>IF('Model inputs'!P60="","",'Model inputs'!P60)</f>
        <v>40</v>
      </c>
      <c r="Q215" s="7">
        <f>IF('Model inputs'!Q60="","",'Model inputs'!Q60)</f>
        <v>40</v>
      </c>
      <c r="R215" s="7">
        <f>IF('Model inputs'!R60="","",'Model inputs'!R60)</f>
        <v>40</v>
      </c>
      <c r="S215" s="7">
        <f>IF('Model inputs'!S60="","",'Model inputs'!S60)</f>
        <v>40</v>
      </c>
      <c r="T215" s="7">
        <f>IF('Model inputs'!T60="","",'Model inputs'!T60)</f>
        <v>40</v>
      </c>
      <c r="U215" s="7">
        <f>IF('Model inputs'!U60="","",'Model inputs'!U60)</f>
        <v>40</v>
      </c>
      <c r="V215" s="7">
        <f>IF('Model inputs'!V60="","",'Model inputs'!V60)</f>
        <v>40</v>
      </c>
      <c r="W215" s="7">
        <f>IF('Model inputs'!W60="","",'Model inputs'!W60)</f>
        <v>40</v>
      </c>
      <c r="X215" s="7">
        <f>IF('Model inputs'!X60="","",'Model inputs'!X60)</f>
        <v>40</v>
      </c>
      <c r="Y215" s="7">
        <f>IF('Model inputs'!Y60="","",'Model inputs'!Y60)</f>
        <v>40</v>
      </c>
      <c r="Z215" s="7">
        <f>IF('Model inputs'!Z60="","",'Model inputs'!Z60)</f>
        <v>40</v>
      </c>
      <c r="AA215" s="7">
        <f>IF('Model inputs'!AA60="","",'Model inputs'!AA60)</f>
        <v>40</v>
      </c>
      <c r="AB215" s="7">
        <f>IF('Model inputs'!AB60="","",'Model inputs'!AB60)</f>
        <v>40</v>
      </c>
      <c r="AC215" s="7">
        <f>IF('Model inputs'!AC60="","",'Model inputs'!AC60)</f>
        <v>40</v>
      </c>
    </row>
    <row r="216" outlineLevel="1">
      <c r="A216" t="inlineStr" s="21">
        <is>
          <t xml:space="preserve">NW New customers &gt; Business</t>
        </is>
      </c>
      <c r="C216" s="9">
        <f>0</f>
        <v>0</v>
      </c>
      <c r="D216" s="9">
        <f>0</f>
        <v>0</v>
      </c>
      <c r="E216" s="9">
        <f>0</f>
        <v>0</v>
      </c>
      <c r="F216" s="9">
        <f>0</f>
        <v>0</v>
      </c>
      <c r="G216" s="9">
        <f>0</f>
        <v>0</v>
      </c>
      <c r="H216" s="9">
        <f>0</f>
        <v>0</v>
      </c>
      <c r="I216" s="9">
        <f>0</f>
        <v>0</v>
      </c>
      <c r="J216" s="9">
        <f>IF('Model inputs'!J61="","",'Model inputs'!J61)</f>
        <v>0</v>
      </c>
      <c r="K216" s="9">
        <f>IF('Model inputs'!K61="","",'Model inputs'!K61)</f>
        <v>0</v>
      </c>
      <c r="L216" s="9">
        <f>IF('Model inputs'!L61="","",'Model inputs'!L61)</f>
        <v>4</v>
      </c>
      <c r="M216" s="9">
        <f>IF('Model inputs'!M61="","",'Model inputs'!M61)</f>
        <v>4</v>
      </c>
      <c r="N216" s="9">
        <f>IF('Model inputs'!N61="","",'Model inputs'!N61)</f>
        <v>4</v>
      </c>
      <c r="O216" s="9">
        <f>IF('Model inputs'!O61="","",'Model inputs'!O61)</f>
        <v>4</v>
      </c>
      <c r="P216" s="9">
        <f>IF('Model inputs'!P61="","",'Model inputs'!P61)</f>
        <v>4</v>
      </c>
      <c r="Q216" s="9">
        <f>IF('Model inputs'!Q61="","",'Model inputs'!Q61)</f>
        <v>4</v>
      </c>
      <c r="R216" s="9">
        <f>IF('Model inputs'!R61="","",'Model inputs'!R61)</f>
        <v>4</v>
      </c>
      <c r="S216" s="9">
        <f>IF('Model inputs'!S61="","",'Model inputs'!S61)</f>
        <v>4</v>
      </c>
      <c r="T216" s="9">
        <f>IF('Model inputs'!T61="","",'Model inputs'!T61)</f>
        <v>4</v>
      </c>
      <c r="U216" s="9">
        <f>IF('Model inputs'!U61="","",'Model inputs'!U61)</f>
        <v>4</v>
      </c>
      <c r="V216" s="9">
        <f>IF('Model inputs'!V61="","",'Model inputs'!V61)</f>
        <v>4</v>
      </c>
      <c r="W216" s="9">
        <f>IF('Model inputs'!W61="","",'Model inputs'!W61)</f>
        <v>4</v>
      </c>
      <c r="X216" s="9">
        <f>IF('Model inputs'!X61="","",'Model inputs'!X61)</f>
        <v>4</v>
      </c>
      <c r="Y216" s="9">
        <f>IF('Model inputs'!Y61="","",'Model inputs'!Y61)</f>
        <v>4</v>
      </c>
      <c r="Z216" s="9">
        <f>IF('Model inputs'!Z61="","",'Model inputs'!Z61)</f>
        <v>4</v>
      </c>
      <c r="AA216" s="9">
        <f>IF('Model inputs'!AA61="","",'Model inputs'!AA61)</f>
        <v>4</v>
      </c>
      <c r="AB216" s="9">
        <f>IF('Model inputs'!AB61="","",'Model inputs'!AB61)</f>
        <v>4</v>
      </c>
      <c r="AC216" s="9">
        <f>IF('Model inputs'!AC61="","",'Model inputs'!AC61)</f>
        <v>4</v>
      </c>
    </row>
    <row r="217" outlineLevel="1">
      <c r="A217" t="inlineStr" s="21">
        <is>
          <t xml:space="preserve">NW New customers &gt; Community</t>
        </is>
      </c>
      <c r="C217" s="9">
        <f>0</f>
        <v>0</v>
      </c>
      <c r="D217" s="9">
        <f>0</f>
        <v>0</v>
      </c>
      <c r="E217" s="9">
        <f>0</f>
        <v>0</v>
      </c>
      <c r="F217" s="9">
        <f>0</f>
        <v>0</v>
      </c>
      <c r="G217" s="9">
        <f>0</f>
        <v>0</v>
      </c>
      <c r="H217" s="9">
        <f>0</f>
        <v>0</v>
      </c>
      <c r="I217" s="9">
        <f>0</f>
        <v>0</v>
      </c>
      <c r="J217" s="9">
        <f>IF('Model inputs'!J62="","",'Model inputs'!J62)</f>
        <v>0</v>
      </c>
      <c r="K217" s="9">
        <f>IF('Model inputs'!K62="","",'Model inputs'!K62)</f>
        <v>0</v>
      </c>
      <c r="L217" s="9">
        <f>IF('Model inputs'!L62="","",'Model inputs'!L62)</f>
        <v>0</v>
      </c>
      <c r="M217" s="9">
        <f>IF('Model inputs'!M62="","",'Model inputs'!M62)</f>
        <v>0</v>
      </c>
      <c r="N217" s="9">
        <f>IF('Model inputs'!N62="","",'Model inputs'!N62)</f>
        <v>0</v>
      </c>
      <c r="O217" s="9">
        <f>IF('Model inputs'!O62="","",'Model inputs'!O62)</f>
        <v>0</v>
      </c>
      <c r="P217" s="9">
        <f>IF('Model inputs'!P62="","",'Model inputs'!P62)</f>
        <v>0</v>
      </c>
      <c r="Q217" s="9">
        <f>IF('Model inputs'!Q62="","",'Model inputs'!Q62)</f>
        <v>0</v>
      </c>
      <c r="R217" s="9">
        <f>IF('Model inputs'!R62="","",'Model inputs'!R62)</f>
        <v>0</v>
      </c>
      <c r="S217" s="9">
        <f>IF('Model inputs'!S62="","",'Model inputs'!S62)</f>
        <v>0</v>
      </c>
      <c r="T217" s="9">
        <f>IF('Model inputs'!T62="","",'Model inputs'!T62)</f>
        <v>0</v>
      </c>
      <c r="U217" s="9">
        <f>IF('Model inputs'!U62="","",'Model inputs'!U62)</f>
        <v>0</v>
      </c>
      <c r="V217" s="9">
        <f>IF('Model inputs'!V62="","",'Model inputs'!V62)</f>
        <v>0</v>
      </c>
      <c r="W217" s="9">
        <f>IF('Model inputs'!W62="","",'Model inputs'!W62)</f>
        <v>0</v>
      </c>
      <c r="X217" s="9">
        <f>IF('Model inputs'!X62="","",'Model inputs'!X62)</f>
        <v>0</v>
      </c>
      <c r="Y217" s="9">
        <f>IF('Model inputs'!Y62="","",'Model inputs'!Y62)</f>
        <v>0</v>
      </c>
      <c r="Z217" s="9">
        <f>IF('Model inputs'!Z62="","",'Model inputs'!Z62)</f>
        <v>0</v>
      </c>
      <c r="AA217" s="9">
        <f>IF('Model inputs'!AA62="","",'Model inputs'!AA62)</f>
        <v>0</v>
      </c>
      <c r="AB217" s="9">
        <f>IF('Model inputs'!AB62="","",'Model inputs'!AB62)</f>
        <v>0</v>
      </c>
      <c r="AC217" s="9">
        <f>IF('Model inputs'!AC62="","",'Model inputs'!AC62)</f>
        <v>0</v>
      </c>
    </row>
    <row r="218" outlineLevel="1">
      <c r="A218" t="inlineStr" s="21">
        <is>
          <t xml:space="preserve">NW New customers &gt; Starter</t>
        </is>
      </c>
      <c r="C218" s="9">
        <f>0</f>
        <v>0</v>
      </c>
      <c r="D218" s="9">
        <f>0</f>
        <v>0</v>
      </c>
      <c r="E218" s="9">
        <f>0</f>
        <v>0</v>
      </c>
      <c r="F218" s="9">
        <f>0</f>
        <v>0</v>
      </c>
      <c r="G218" s="9">
        <f>0</f>
        <v>0</v>
      </c>
      <c r="H218" s="9">
        <f>0</f>
        <v>0</v>
      </c>
      <c r="I218" s="9">
        <f>0</f>
        <v>0</v>
      </c>
      <c r="J218" s="9">
        <f>IF('Model inputs'!J63="","",'Model inputs'!J63)</f>
        <v>0</v>
      </c>
      <c r="K218" s="9">
        <f>IF('Model inputs'!K63="","",'Model inputs'!K63)</f>
        <v>0</v>
      </c>
      <c r="L218" s="9">
        <f>IF('Model inputs'!L63="","",'Model inputs'!L63)</f>
        <v>22</v>
      </c>
      <c r="M218" s="9">
        <f>IF('Model inputs'!M63="","",'Model inputs'!M63)</f>
        <v>22</v>
      </c>
      <c r="N218" s="9">
        <f>IF('Model inputs'!N63="","",'Model inputs'!N63)</f>
        <v>22</v>
      </c>
      <c r="O218" s="9">
        <f>IF('Model inputs'!O63="","",'Model inputs'!O63)</f>
        <v>22</v>
      </c>
      <c r="P218" s="9">
        <f>IF('Model inputs'!P63="","",'Model inputs'!P63)</f>
        <v>22</v>
      </c>
      <c r="Q218" s="9">
        <f>IF('Model inputs'!Q63="","",'Model inputs'!Q63)</f>
        <v>22</v>
      </c>
      <c r="R218" s="9">
        <f>IF('Model inputs'!R63="","",'Model inputs'!R63)</f>
        <v>22</v>
      </c>
      <c r="S218" s="9">
        <f>IF('Model inputs'!S63="","",'Model inputs'!S63)</f>
        <v>22</v>
      </c>
      <c r="T218" s="9">
        <f>IF('Model inputs'!T63="","",'Model inputs'!T63)</f>
        <v>22</v>
      </c>
      <c r="U218" s="9">
        <f>IF('Model inputs'!U63="","",'Model inputs'!U63)</f>
        <v>22</v>
      </c>
      <c r="V218" s="9">
        <f>IF('Model inputs'!V63="","",'Model inputs'!V63)</f>
        <v>22</v>
      </c>
      <c r="W218" s="9">
        <f>IF('Model inputs'!W63="","",'Model inputs'!W63)</f>
        <v>22</v>
      </c>
      <c r="X218" s="9">
        <f>IF('Model inputs'!X63="","",'Model inputs'!X63)</f>
        <v>22</v>
      </c>
      <c r="Y218" s="9">
        <f>IF('Model inputs'!Y63="","",'Model inputs'!Y63)</f>
        <v>22</v>
      </c>
      <c r="Z218" s="9">
        <f>IF('Model inputs'!Z63="","",'Model inputs'!Z63)</f>
        <v>22</v>
      </c>
      <c r="AA218" s="9">
        <f>IF('Model inputs'!AA63="","",'Model inputs'!AA63)</f>
        <v>22</v>
      </c>
      <c r="AB218" s="9">
        <f>IF('Model inputs'!AB63="","",'Model inputs'!AB63)</f>
        <v>22</v>
      </c>
      <c r="AC218" s="9">
        <f>IF('Model inputs'!AC63="","",'Model inputs'!AC63)</f>
        <v>22</v>
      </c>
    </row>
    <row r="219" outlineLevel="1">
      <c r="A219" t="inlineStr" s="21">
        <is>
          <t xml:space="preserve">NW New customers &gt; Team</t>
        </is>
      </c>
      <c r="C219" s="9">
        <f>0</f>
        <v>0</v>
      </c>
      <c r="D219" s="9">
        <f>0</f>
        <v>0</v>
      </c>
      <c r="E219" s="9">
        <f>0</f>
        <v>0</v>
      </c>
      <c r="F219" s="9">
        <f>0</f>
        <v>0</v>
      </c>
      <c r="G219" s="9">
        <f>0</f>
        <v>0</v>
      </c>
      <c r="H219" s="9">
        <f>0</f>
        <v>0</v>
      </c>
      <c r="I219" s="9">
        <f>0</f>
        <v>0</v>
      </c>
      <c r="J219" s="9">
        <f>IF('Model inputs'!J64="","",'Model inputs'!J64)</f>
        <v>0</v>
      </c>
      <c r="K219" s="9">
        <f>IF('Model inputs'!K64="","",'Model inputs'!K64)</f>
        <v>0</v>
      </c>
      <c r="L219" s="9">
        <f>IF('Model inputs'!L64="","",'Model inputs'!L64)</f>
        <v>14</v>
      </c>
      <c r="M219" s="9">
        <f>IF('Model inputs'!M64="","",'Model inputs'!M64)</f>
        <v>14</v>
      </c>
      <c r="N219" s="9">
        <f>IF('Model inputs'!N64="","",'Model inputs'!N64)</f>
        <v>14</v>
      </c>
      <c r="O219" s="9">
        <f>IF('Model inputs'!O64="","",'Model inputs'!O64)</f>
        <v>14</v>
      </c>
      <c r="P219" s="9">
        <f>IF('Model inputs'!P64="","",'Model inputs'!P64)</f>
        <v>14</v>
      </c>
      <c r="Q219" s="9">
        <f>IF('Model inputs'!Q64="","",'Model inputs'!Q64)</f>
        <v>14</v>
      </c>
      <c r="R219" s="9">
        <f>IF('Model inputs'!R64="","",'Model inputs'!R64)</f>
        <v>14</v>
      </c>
      <c r="S219" s="9">
        <f>IF('Model inputs'!S64="","",'Model inputs'!S64)</f>
        <v>14</v>
      </c>
      <c r="T219" s="9">
        <f>IF('Model inputs'!T64="","",'Model inputs'!T64)</f>
        <v>14</v>
      </c>
      <c r="U219" s="9">
        <f>IF('Model inputs'!U64="","",'Model inputs'!U64)</f>
        <v>14</v>
      </c>
      <c r="V219" s="9">
        <f>IF('Model inputs'!V64="","",'Model inputs'!V64)</f>
        <v>14</v>
      </c>
      <c r="W219" s="9">
        <f>IF('Model inputs'!W64="","",'Model inputs'!W64)</f>
        <v>14</v>
      </c>
      <c r="X219" s="9">
        <f>IF('Model inputs'!X64="","",'Model inputs'!X64)</f>
        <v>14</v>
      </c>
      <c r="Y219" s="9">
        <f>IF('Model inputs'!Y64="","",'Model inputs'!Y64)</f>
        <v>14</v>
      </c>
      <c r="Z219" s="9">
        <f>IF('Model inputs'!Z64="","",'Model inputs'!Z64)</f>
        <v>14</v>
      </c>
      <c r="AA219" s="9">
        <f>IF('Model inputs'!AA64="","",'Model inputs'!AA64)</f>
        <v>14</v>
      </c>
      <c r="AB219" s="9">
        <f>IF('Model inputs'!AB64="","",'Model inputs'!AB64)</f>
        <v>14</v>
      </c>
      <c r="AC219" s="9">
        <f>IF('Model inputs'!AC64="","",'Model inputs'!AC64)</f>
        <v>14</v>
      </c>
    </row>
    <row r="220">
      <c r="A220" t="inlineStr" s="20">
        <is>
          <t xml:space="preserve">NW Opening customers</t>
        </is>
      </c>
      <c r="C220" s="7">
        <f>SUM('Model inputs'!C221,'Model inputs'!C222,'Model inputs'!C223,'Model inputs'!C224)</f>
        <v>0</v>
      </c>
      <c r="D220" s="7">
        <f>SUM('Model inputs'!D221,'Model inputs'!D222,'Model inputs'!D223,'Model inputs'!D224)</f>
        <v>0</v>
      </c>
      <c r="E220" s="7">
        <f>SUM('Model inputs'!E221,'Model inputs'!E222,'Model inputs'!E223,'Model inputs'!E224)</f>
        <v>0</v>
      </c>
      <c r="F220" s="7">
        <f>SUM('Model inputs'!F221,'Model inputs'!F222,'Model inputs'!F223,'Model inputs'!F224)</f>
        <v>0</v>
      </c>
      <c r="G220" s="7">
        <f>SUM('Model inputs'!G221,'Model inputs'!G222,'Model inputs'!G223,'Model inputs'!G224)</f>
        <v>0</v>
      </c>
      <c r="H220" s="7">
        <f>SUM('Model inputs'!H221,'Model inputs'!H222,'Model inputs'!H223,'Model inputs'!H224)</f>
        <v>0</v>
      </c>
      <c r="I220" s="7">
        <f>SUM('Model inputs'!I221,'Model inputs'!I222,'Model inputs'!I223,'Model inputs'!I224)</f>
        <v>0</v>
      </c>
      <c r="J220" s="7">
        <f>IF('Model inputs'!J66="","",'Model inputs'!J66)</f>
        <v>0</v>
      </c>
      <c r="K220" s="7">
        <f>IF('Model inputs'!K66="","",'Model inputs'!K66)</f>
        <v>0</v>
      </c>
      <c r="L220" s="7">
        <f>IF('Model inputs'!L66="","",'Model inputs'!L66)</f>
        <v>0</v>
      </c>
      <c r="M220" s="7">
        <f>IF('Model inputs'!M66="","",'Model inputs'!M66)</f>
        <v>40</v>
      </c>
      <c r="N220" s="7">
        <f>IF('Model inputs'!N66="","",'Model inputs'!N66)</f>
        <v>78.4</v>
      </c>
      <c r="O220" s="7">
        <f>IF('Model inputs'!O66="","",'Model inputs'!O66)</f>
        <v>115.26400000000001</v>
      </c>
      <c r="P220" s="7">
        <f>IF('Model inputs'!P66="","",'Model inputs'!P66)</f>
        <v>150.65344</v>
      </c>
      <c r="Q220" s="7">
        <f>IF('Model inputs'!Q66="","",'Model inputs'!Q66)</f>
        <v>184.6273024</v>
      </c>
      <c r="R220" s="7">
        <f>IF('Model inputs'!R66="","",'Model inputs'!R66)</f>
        <v>217.242210304</v>
      </c>
      <c r="S220" s="7">
        <f>IF('Model inputs'!S66="","",'Model inputs'!S66)</f>
        <v>248.55252189184</v>
      </c>
      <c r="T220" s="7">
        <f>IF('Model inputs'!T66="","",'Model inputs'!T66)</f>
        <v>278.6104210161664</v>
      </c>
      <c r="U220" s="7">
        <f>IF('Model inputs'!U66="","",'Model inputs'!U66)</f>
        <v>307.46600417551974</v>
      </c>
      <c r="V220" s="7">
        <f>IF('Model inputs'!V66="","",'Model inputs'!V66)</f>
        <v>335.1673640084989</v>
      </c>
      <c r="W220" s="7">
        <f>IF('Model inputs'!W66="","",'Model inputs'!W66)</f>
        <v>361.760669448159</v>
      </c>
      <c r="X220" s="7">
        <f>IF('Model inputs'!X66="","",'Model inputs'!X66)</f>
        <v>387.2902426702326</v>
      </c>
      <c r="Y220" s="7">
        <f>IF('Model inputs'!Y66="","",'Model inputs'!Y66)</f>
        <v>411.7986329634233</v>
      </c>
      <c r="Z220" s="7">
        <f>IF('Model inputs'!Z66="","",'Model inputs'!Z66)</f>
        <v>435.32668764488636</v>
      </c>
      <c r="AA220" s="7">
        <f>IF('Model inputs'!AA66="","",'Model inputs'!AA66)</f>
        <v>457.9136201390909</v>
      </c>
      <c r="AB220" s="7">
        <f>IF('Model inputs'!AB66="","",'Model inputs'!AB66)</f>
        <v>479.5970753335273</v>
      </c>
      <c r="AC220" s="7">
        <f>IF('Model inputs'!AC66="","",'Model inputs'!AC66)</f>
        <v>500.4131923201861</v>
      </c>
    </row>
    <row r="221" outlineLevel="1">
      <c r="A221" t="inlineStr" s="21">
        <is>
          <t xml:space="preserve">NW Opening customers &gt; Business</t>
        </is>
      </c>
      <c r="C221" s="9">
        <f>0</f>
        <v>0</v>
      </c>
      <c r="D221" s="9">
        <f>0</f>
        <v>0</v>
      </c>
      <c r="E221" s="9">
        <f>0</f>
        <v>0</v>
      </c>
      <c r="F221" s="9">
        <f>0</f>
        <v>0</v>
      </c>
      <c r="G221" s="9">
        <f>0</f>
        <v>0</v>
      </c>
      <c r="H221" s="9">
        <f>0</f>
        <v>0</v>
      </c>
      <c r="I221" s="9">
        <f>0</f>
        <v>0</v>
      </c>
      <c r="J221" s="9">
        <f>IF('Model inputs'!J67="","",'Model inputs'!J67)</f>
        <v>0</v>
      </c>
      <c r="K221" s="9">
        <f>IF('Model inputs'!K67="","",'Model inputs'!K67)</f>
        <v>0</v>
      </c>
      <c r="L221" s="9">
        <f>IF('Model inputs'!L67="","",'Model inputs'!L67)</f>
        <v>0</v>
      </c>
      <c r="M221" s="9">
        <f>IF('Model inputs'!M67="","",'Model inputs'!M67)</f>
        <v>4</v>
      </c>
      <c r="N221" s="9">
        <f>IF('Model inputs'!N67="","",'Model inputs'!N67)</f>
        <v>7.84</v>
      </c>
      <c r="O221" s="9">
        <f>IF('Model inputs'!O67="","",'Model inputs'!O67)</f>
        <v>11.5264</v>
      </c>
      <c r="P221" s="9">
        <f>IF('Model inputs'!P67="","",'Model inputs'!P67)</f>
        <v>15.065344000000001</v>
      </c>
      <c r="Q221" s="9">
        <f>IF('Model inputs'!Q67="","",'Model inputs'!Q67)</f>
        <v>18.462730240000003</v>
      </c>
      <c r="R221" s="9">
        <f>IF('Model inputs'!R67="","",'Model inputs'!R67)</f>
        <v>21.724221030400003</v>
      </c>
      <c r="S221" s="9">
        <f>IF('Model inputs'!S67="","",'Model inputs'!S67)</f>
        <v>24.855252189184004</v>
      </c>
      <c r="T221" s="9">
        <f>IF('Model inputs'!T67="","",'Model inputs'!T67)</f>
        <v>27.861042101616643</v>
      </c>
      <c r="U221" s="9">
        <f>IF('Model inputs'!U67="","",'Model inputs'!U67)</f>
        <v>30.746600417551978</v>
      </c>
      <c r="V221" s="9">
        <f>IF('Model inputs'!V67="","",'Model inputs'!V67)</f>
        <v>33.516736400849894</v>
      </c>
      <c r="W221" s="9">
        <f>IF('Model inputs'!W67="","",'Model inputs'!W67)</f>
        <v>36.1760669448159</v>
      </c>
      <c r="X221" s="9">
        <f>IF('Model inputs'!X67="","",'Model inputs'!X67)</f>
        <v>38.72902426702326</v>
      </c>
      <c r="Y221" s="9">
        <f>IF('Model inputs'!Y67="","",'Model inputs'!Y67)</f>
        <v>41.17986329634233</v>
      </c>
      <c r="Z221" s="9">
        <f>IF('Model inputs'!Z67="","",'Model inputs'!Z67)</f>
        <v>43.53266876448864</v>
      </c>
      <c r="AA221" s="9">
        <f>IF('Model inputs'!AA67="","",'Model inputs'!AA67)</f>
        <v>45.791362013909094</v>
      </c>
      <c r="AB221" s="9">
        <f>IF('Model inputs'!AB67="","",'Model inputs'!AB67)</f>
        <v>47.95970753335273</v>
      </c>
      <c r="AC221" s="9">
        <f>IF('Model inputs'!AC67="","",'Model inputs'!AC67)</f>
        <v>50.041319232018616</v>
      </c>
    </row>
    <row r="222" outlineLevel="1">
      <c r="A222" t="inlineStr" s="21">
        <is>
          <t xml:space="preserve">NW Opening customers &gt; Community</t>
        </is>
      </c>
      <c r="C222" s="9">
        <f>0</f>
        <v>0</v>
      </c>
      <c r="D222" s="9">
        <f>0</f>
        <v>0</v>
      </c>
      <c r="E222" s="9">
        <f>0</f>
        <v>0</v>
      </c>
      <c r="F222" s="9">
        <f>0</f>
        <v>0</v>
      </c>
      <c r="G222" s="9">
        <f>0</f>
        <v>0</v>
      </c>
      <c r="H222" s="9">
        <f>0</f>
        <v>0</v>
      </c>
      <c r="I222" s="9">
        <f>0</f>
        <v>0</v>
      </c>
      <c r="J222" s="9">
        <f>IF('Model inputs'!J68="","",'Model inputs'!J68)</f>
        <v>0</v>
      </c>
      <c r="K222" s="9">
        <f>IF('Model inputs'!K68="","",'Model inputs'!K68)</f>
        <v>0</v>
      </c>
      <c r="L222" s="9">
        <f>IF('Model inputs'!L68="","",'Model inputs'!L68)</f>
        <v>0</v>
      </c>
      <c r="M222" s="9">
        <f>IF('Model inputs'!M68="","",'Model inputs'!M68)</f>
        <v>0</v>
      </c>
      <c r="N222" s="9">
        <f>IF('Model inputs'!N68="","",'Model inputs'!N68)</f>
        <v>0</v>
      </c>
      <c r="O222" s="9">
        <f>IF('Model inputs'!O68="","",'Model inputs'!O68)</f>
        <v>0</v>
      </c>
      <c r="P222" s="9">
        <f>IF('Model inputs'!P68="","",'Model inputs'!P68)</f>
        <v>0</v>
      </c>
      <c r="Q222" s="9">
        <f>IF('Model inputs'!Q68="","",'Model inputs'!Q68)</f>
        <v>0</v>
      </c>
      <c r="R222" s="9">
        <f>IF('Model inputs'!R68="","",'Model inputs'!R68)</f>
        <v>0</v>
      </c>
      <c r="S222" s="9">
        <f>IF('Model inputs'!S68="","",'Model inputs'!S68)</f>
        <v>0</v>
      </c>
      <c r="T222" s="9">
        <f>IF('Model inputs'!T68="","",'Model inputs'!T68)</f>
        <v>0</v>
      </c>
      <c r="U222" s="9">
        <f>IF('Model inputs'!U68="","",'Model inputs'!U68)</f>
        <v>0</v>
      </c>
      <c r="V222" s="9">
        <f>IF('Model inputs'!V68="","",'Model inputs'!V68)</f>
        <v>0</v>
      </c>
      <c r="W222" s="9">
        <f>IF('Model inputs'!W68="","",'Model inputs'!W68)</f>
        <v>0</v>
      </c>
      <c r="X222" s="9">
        <f>IF('Model inputs'!X68="","",'Model inputs'!X68)</f>
        <v>0</v>
      </c>
      <c r="Y222" s="9">
        <f>IF('Model inputs'!Y68="","",'Model inputs'!Y68)</f>
        <v>0</v>
      </c>
      <c r="Z222" s="9">
        <f>IF('Model inputs'!Z68="","",'Model inputs'!Z68)</f>
        <v>0</v>
      </c>
      <c r="AA222" s="9">
        <f>IF('Model inputs'!AA68="","",'Model inputs'!AA68)</f>
        <v>0</v>
      </c>
      <c r="AB222" s="9">
        <f>IF('Model inputs'!AB68="","",'Model inputs'!AB68)</f>
        <v>0</v>
      </c>
      <c r="AC222" s="9">
        <f>IF('Model inputs'!AC68="","",'Model inputs'!AC68)</f>
        <v>0</v>
      </c>
    </row>
    <row r="223" outlineLevel="1">
      <c r="A223" t="inlineStr" s="21">
        <is>
          <t xml:space="preserve">NW Opening customers &gt; Starter</t>
        </is>
      </c>
      <c r="C223" s="9">
        <f>0</f>
        <v>0</v>
      </c>
      <c r="D223" s="9">
        <f>0</f>
        <v>0</v>
      </c>
      <c r="E223" s="9">
        <f>0</f>
        <v>0</v>
      </c>
      <c r="F223" s="9">
        <f>0</f>
        <v>0</v>
      </c>
      <c r="G223" s="9">
        <f>0</f>
        <v>0</v>
      </c>
      <c r="H223" s="9">
        <f>0</f>
        <v>0</v>
      </c>
      <c r="I223" s="9">
        <f>0</f>
        <v>0</v>
      </c>
      <c r="J223" s="9">
        <f>IF('Model inputs'!J69="","",'Model inputs'!J69)</f>
        <v>0</v>
      </c>
      <c r="K223" s="9">
        <f>IF('Model inputs'!K69="","",'Model inputs'!K69)</f>
        <v>0</v>
      </c>
      <c r="L223" s="9">
        <f>IF('Model inputs'!L69="","",'Model inputs'!L69)</f>
        <v>0</v>
      </c>
      <c r="M223" s="9">
        <f>IF('Model inputs'!M69="","",'Model inputs'!M69)</f>
        <v>22</v>
      </c>
      <c r="N223" s="9">
        <f>IF('Model inputs'!N69="","",'Model inputs'!N69)</f>
        <v>43.12</v>
      </c>
      <c r="O223" s="9">
        <f>IF('Model inputs'!O69="","",'Model inputs'!O69)</f>
        <v>63.3952</v>
      </c>
      <c r="P223" s="9">
        <f>IF('Model inputs'!P69="","",'Model inputs'!P69)</f>
        <v>82.859392</v>
      </c>
      <c r="Q223" s="9">
        <f>IF('Model inputs'!Q69="","",'Model inputs'!Q69)</f>
        <v>101.54501632</v>
      </c>
      <c r="R223" s="9">
        <f>IF('Model inputs'!R69="","",'Model inputs'!R69)</f>
        <v>119.4832156672</v>
      </c>
      <c r="S223" s="9">
        <f>IF('Model inputs'!S69="","",'Model inputs'!S69)</f>
        <v>136.703887040512</v>
      </c>
      <c r="T223" s="9">
        <f>IF('Model inputs'!T69="","",'Model inputs'!T69)</f>
        <v>153.23573155889153</v>
      </c>
      <c r="U223" s="9">
        <f>IF('Model inputs'!U69="","",'Model inputs'!U69)</f>
        <v>169.10630229653586</v>
      </c>
      <c r="V223" s="9">
        <f>IF('Model inputs'!V69="","",'Model inputs'!V69)</f>
        <v>184.34205020467442</v>
      </c>
      <c r="W223" s="9">
        <f>IF('Model inputs'!W69="","",'Model inputs'!W69)</f>
        <v>198.96836819648743</v>
      </c>
      <c r="X223" s="9">
        <f>IF('Model inputs'!X69="","",'Model inputs'!X69)</f>
        <v>213.00963346862792</v>
      </c>
      <c r="Y223" s="9">
        <f>IF('Model inputs'!Y69="","",'Model inputs'!Y69)</f>
        <v>226.4892481298828</v>
      </c>
      <c r="Z223" s="9">
        <f>IF('Model inputs'!Z69="","",'Model inputs'!Z69)</f>
        <v>239.4296782046875</v>
      </c>
      <c r="AA223" s="9">
        <f>IF('Model inputs'!AA69="","",'Model inputs'!AA69)</f>
        <v>251.8524910765</v>
      </c>
      <c r="AB223" s="9">
        <f>IF('Model inputs'!AB69="","",'Model inputs'!AB69)</f>
        <v>263.77839143344</v>
      </c>
      <c r="AC223" s="9">
        <f>IF('Model inputs'!AC69="","",'Model inputs'!AC69)</f>
        <v>275.22725577610237</v>
      </c>
    </row>
    <row r="224" outlineLevel="1">
      <c r="A224" t="inlineStr" s="21">
        <is>
          <t xml:space="preserve">NW Opening customers &gt; Team</t>
        </is>
      </c>
      <c r="C224" s="9">
        <f>0</f>
        <v>0</v>
      </c>
      <c r="D224" s="9">
        <f>0</f>
        <v>0</v>
      </c>
      <c r="E224" s="9">
        <f>0</f>
        <v>0</v>
      </c>
      <c r="F224" s="9">
        <f>0</f>
        <v>0</v>
      </c>
      <c r="G224" s="9">
        <f>0</f>
        <v>0</v>
      </c>
      <c r="H224" s="9">
        <f>0</f>
        <v>0</v>
      </c>
      <c r="I224" s="9">
        <f>0</f>
        <v>0</v>
      </c>
      <c r="J224" s="9">
        <f>IF('Model inputs'!J70="","",'Model inputs'!J70)</f>
        <v>0</v>
      </c>
      <c r="K224" s="9">
        <f>IF('Model inputs'!K70="","",'Model inputs'!K70)</f>
        <v>0</v>
      </c>
      <c r="L224" s="9">
        <f>IF('Model inputs'!L70="","",'Model inputs'!L70)</f>
        <v>0</v>
      </c>
      <c r="M224" s="9">
        <f>IF('Model inputs'!M70="","",'Model inputs'!M70)</f>
        <v>14</v>
      </c>
      <c r="N224" s="9">
        <f>IF('Model inputs'!N70="","",'Model inputs'!N70)</f>
        <v>27.44</v>
      </c>
      <c r="O224" s="9">
        <f>IF('Model inputs'!O70="","",'Model inputs'!O70)</f>
        <v>40.3424</v>
      </c>
      <c r="P224" s="9">
        <f>IF('Model inputs'!P70="","",'Model inputs'!P70)</f>
        <v>52.728704</v>
      </c>
      <c r="Q224" s="9">
        <f>IF('Model inputs'!Q70="","",'Model inputs'!Q70)</f>
        <v>64.61955583999999</v>
      </c>
      <c r="R224" s="9">
        <f>IF('Model inputs'!R70="","",'Model inputs'!R70)</f>
        <v>76.0347736064</v>
      </c>
      <c r="S224" s="9">
        <f>IF('Model inputs'!S70="","",'Model inputs'!S70)</f>
        <v>86.993382662144</v>
      </c>
      <c r="T224" s="9">
        <f>IF('Model inputs'!T70="","",'Model inputs'!T70)</f>
        <v>97.51364735565824</v>
      </c>
      <c r="U224" s="9">
        <f>IF('Model inputs'!U70="","",'Model inputs'!U70)</f>
        <v>107.61310146143191</v>
      </c>
      <c r="V224" s="9">
        <f>IF('Model inputs'!V70="","",'Model inputs'!V70)</f>
        <v>117.30857740297463</v>
      </c>
      <c r="W224" s="9">
        <f>IF('Model inputs'!W70="","",'Model inputs'!W70)</f>
        <v>126.61623430685565</v>
      </c>
      <c r="X224" s="9">
        <f>IF('Model inputs'!X70="","",'Model inputs'!X70)</f>
        <v>135.5515849345814</v>
      </c>
      <c r="Y224" s="9">
        <f>IF('Model inputs'!Y70="","",'Model inputs'!Y70)</f>
        <v>144.12952153719814</v>
      </c>
      <c r="Z224" s="9">
        <f>IF('Model inputs'!Z70="","",'Model inputs'!Z70)</f>
        <v>152.36434067571022</v>
      </c>
      <c r="AA224" s="9">
        <f>IF('Model inputs'!AA70="","",'Model inputs'!AA70)</f>
        <v>160.2697670486818</v>
      </c>
      <c r="AB224" s="9">
        <f>IF('Model inputs'!AB70="","",'Model inputs'!AB70)</f>
        <v>167.85897636673454</v>
      </c>
      <c r="AC224" s="9">
        <f>IF('Model inputs'!AC70="","",'Model inputs'!AC70)</f>
        <v>175.14461731206515</v>
      </c>
    </row>
    <row r="225">
      <c r="A225" t="inlineStr" s="20">
        <is>
          <t xml:space="preserve">NW Churned customers</t>
        </is>
      </c>
      <c r="C225" s="7">
        <f>SUM('Model inputs'!C226,'Model inputs'!C227,'Model inputs'!C228,'Model inputs'!C229)</f>
        <v>0</v>
      </c>
      <c r="D225" s="7">
        <f>SUM('Model inputs'!D226,'Model inputs'!D227,'Model inputs'!D228,'Model inputs'!D229)</f>
        <v>0</v>
      </c>
      <c r="E225" s="7">
        <f>SUM('Model inputs'!E226,'Model inputs'!E227,'Model inputs'!E228,'Model inputs'!E229)</f>
        <v>0</v>
      </c>
      <c r="F225" s="7">
        <f>SUM('Model inputs'!F226,'Model inputs'!F227,'Model inputs'!F228,'Model inputs'!F229)</f>
        <v>0</v>
      </c>
      <c r="G225" s="7">
        <f>SUM('Model inputs'!G226,'Model inputs'!G227,'Model inputs'!G228,'Model inputs'!G229)</f>
        <v>0</v>
      </c>
      <c r="H225" s="7">
        <f>SUM('Model inputs'!H226,'Model inputs'!H227,'Model inputs'!H228,'Model inputs'!H229)</f>
        <v>0</v>
      </c>
      <c r="I225" s="7">
        <f>SUM('Model inputs'!I226,'Model inputs'!I227,'Model inputs'!I228,'Model inputs'!I229)</f>
        <v>0</v>
      </c>
      <c r="J225" s="7">
        <f>SUM('Model inputs'!J226,'Model inputs'!J227,'Model inputs'!J228,'Model inputs'!J229)</f>
        <v>0</v>
      </c>
      <c r="K225" s="7">
        <f>SUM('Model inputs'!K226,'Model inputs'!K227,'Model inputs'!K228,'Model inputs'!K229)</f>
        <v>0</v>
      </c>
      <c r="L225" s="7">
        <f>IF('Model inputs'!L143="","",'Model inputs'!L143)</f>
        <v>0</v>
      </c>
      <c r="M225" s="7">
        <f>IF('Model inputs'!M143="","",'Model inputs'!M143)</f>
        <v>1.6</v>
      </c>
      <c r="N225" s="7">
        <f>IF('Model inputs'!N143="","",'Model inputs'!N143)</f>
        <v>3.136</v>
      </c>
      <c r="O225" s="7">
        <f>IF('Model inputs'!O143="","",'Model inputs'!O143)</f>
        <v>4.61056</v>
      </c>
      <c r="P225" s="7">
        <f>IF('Model inputs'!P143="","",'Model inputs'!P143)</f>
        <v>6.0261376</v>
      </c>
      <c r="Q225" s="7">
        <f>IF('Model inputs'!Q143="","",'Model inputs'!Q143)</f>
        <v>7.385092096</v>
      </c>
      <c r="R225" s="7">
        <f>IF('Model inputs'!R143="","",'Model inputs'!R143)</f>
        <v>8.68968841216</v>
      </c>
      <c r="S225" s="7">
        <f>IF('Model inputs'!S143="","",'Model inputs'!S143)</f>
        <v>9.9421008756736</v>
      </c>
      <c r="T225" s="7">
        <f>IF('Model inputs'!T143="","",'Model inputs'!T143)</f>
        <v>11.144416840646656</v>
      </c>
      <c r="U225" s="7">
        <f>IF('Model inputs'!U143="","",'Model inputs'!U143)</f>
        <v>12.298640167020789</v>
      </c>
      <c r="V225" s="7">
        <f>IF('Model inputs'!V143="","",'Model inputs'!V143)</f>
        <v>13.406694560339957</v>
      </c>
      <c r="W225" s="7">
        <f>IF('Model inputs'!W143="","",'Model inputs'!W143)</f>
        <v>14.47042677792636</v>
      </c>
      <c r="X225" s="7">
        <f>IF('Model inputs'!X143="","",'Model inputs'!X143)</f>
        <v>15.491609706809303</v>
      </c>
      <c r="Y225" s="7">
        <f>IF('Model inputs'!Y143="","",'Model inputs'!Y143)</f>
        <v>16.471945318536932</v>
      </c>
      <c r="Z225" s="7">
        <f>IF('Model inputs'!Z143="","",'Model inputs'!Z143)</f>
        <v>17.413067505795453</v>
      </c>
      <c r="AA225" s="7">
        <f>IF('Model inputs'!AA143="","",'Model inputs'!AA143)</f>
        <v>18.316544805563638</v>
      </c>
      <c r="AB225" s="7">
        <f>IF('Model inputs'!AB143="","",'Model inputs'!AB143)</f>
        <v>19.18388301334109</v>
      </c>
      <c r="AC225" s="7">
        <f>IF('Model inputs'!AC143="","",'Model inputs'!AC143)</f>
        <v>20.016527692807447</v>
      </c>
    </row>
    <row r="226" outlineLevel="1">
      <c r="A226" t="inlineStr" s="21">
        <is>
          <t xml:space="preserve">NW Churned customers &gt; Business</t>
        </is>
      </c>
      <c r="C226" s="9">
        <f>0</f>
        <v>0</v>
      </c>
      <c r="D226" s="9">
        <f>0</f>
        <v>0</v>
      </c>
      <c r="E226" s="9">
        <f>0</f>
        <v>0</v>
      </c>
      <c r="F226" s="9">
        <f>0</f>
        <v>0</v>
      </c>
      <c r="G226" s="9">
        <f>0</f>
        <v>0</v>
      </c>
      <c r="H226" s="9">
        <f>0</f>
        <v>0</v>
      </c>
      <c r="I226" s="9">
        <f>0</f>
        <v>0</v>
      </c>
      <c r="J226" s="9">
        <f>0</f>
        <v>0</v>
      </c>
      <c r="K226" s="9">
        <f>0</f>
        <v>0</v>
      </c>
      <c r="L226" s="9">
        <f>IF('Model inputs'!L144="","",'Model inputs'!L144)</f>
        <v>0</v>
      </c>
      <c r="M226" s="9">
        <f>IF('Model inputs'!M144="","",'Model inputs'!M144)</f>
        <v>0.16</v>
      </c>
      <c r="N226" s="9">
        <f>IF('Model inputs'!N144="","",'Model inputs'!N144)</f>
        <v>0.3136</v>
      </c>
      <c r="O226" s="9">
        <f>IF('Model inputs'!O144="","",'Model inputs'!O144)</f>
        <v>0.461056</v>
      </c>
      <c r="P226" s="9">
        <f>IF('Model inputs'!P144="","",'Model inputs'!P144)</f>
        <v>0.6026137600000001</v>
      </c>
      <c r="Q226" s="9">
        <f>IF('Model inputs'!Q144="","",'Model inputs'!Q144)</f>
        <v>0.7385092096000001</v>
      </c>
      <c r="R226" s="9">
        <f>IF('Model inputs'!R144="","",'Model inputs'!R144)</f>
        <v>0.8689688412160002</v>
      </c>
      <c r="S226" s="9">
        <f>IF('Model inputs'!S144="","",'Model inputs'!S144)</f>
        <v>0.9942100875673602</v>
      </c>
      <c r="T226" s="9">
        <f>IF('Model inputs'!T144="","",'Model inputs'!T144)</f>
        <v>1.1144416840646658</v>
      </c>
      <c r="U226" s="9">
        <f>IF('Model inputs'!U144="","",'Model inputs'!U144)</f>
        <v>1.2298640167020791</v>
      </c>
      <c r="V226" s="9">
        <f>IF('Model inputs'!V144="","",'Model inputs'!V144)</f>
        <v>1.3406694560339958</v>
      </c>
      <c r="W226" s="9">
        <f>IF('Model inputs'!W144="","",'Model inputs'!W144)</f>
        <v>1.447042677792636</v>
      </c>
      <c r="X226" s="9">
        <f>IF('Model inputs'!X144="","",'Model inputs'!X144)</f>
        <v>1.5491609706809306</v>
      </c>
      <c r="Y226" s="9">
        <f>IF('Model inputs'!Y144="","",'Model inputs'!Y144)</f>
        <v>1.6471945318536934</v>
      </c>
      <c r="Z226" s="9">
        <f>IF('Model inputs'!Z144="","",'Model inputs'!Z144)</f>
        <v>1.7413067505795456</v>
      </c>
      <c r="AA226" s="9">
        <f>IF('Model inputs'!AA144="","",'Model inputs'!AA144)</f>
        <v>1.8316544805563637</v>
      </c>
      <c r="AB226" s="9">
        <f>IF('Model inputs'!AB144="","",'Model inputs'!AB144)</f>
        <v>1.9183883013341092</v>
      </c>
      <c r="AC226" s="9">
        <f>IF('Model inputs'!AC144="","",'Model inputs'!AC144)</f>
        <v>2.001652769280745</v>
      </c>
    </row>
    <row r="227" outlineLevel="1">
      <c r="A227" t="inlineStr" s="21">
        <is>
          <t xml:space="preserve">NW Churned customers &gt; Community</t>
        </is>
      </c>
      <c r="C227" s="9">
        <f>0</f>
        <v>0</v>
      </c>
      <c r="D227" s="9">
        <f>0</f>
        <v>0</v>
      </c>
      <c r="E227" s="9">
        <f>0</f>
        <v>0</v>
      </c>
      <c r="F227" s="9">
        <f>0</f>
        <v>0</v>
      </c>
      <c r="G227" s="9">
        <f>0</f>
        <v>0</v>
      </c>
      <c r="H227" s="9">
        <f>0</f>
        <v>0</v>
      </c>
      <c r="I227" s="9">
        <f>0</f>
        <v>0</v>
      </c>
      <c r="J227" s="9">
        <f>0</f>
        <v>0</v>
      </c>
      <c r="K227" s="9">
        <f>0</f>
        <v>0</v>
      </c>
      <c r="L227" s="9">
        <f>IF('Model inputs'!L145="","",'Model inputs'!L145)</f>
        <v>0</v>
      </c>
      <c r="M227" s="9">
        <f>IF('Model inputs'!M145="","",'Model inputs'!M145)</f>
        <v>0</v>
      </c>
      <c r="N227" s="9">
        <f>IF('Model inputs'!N145="","",'Model inputs'!N145)</f>
        <v>0</v>
      </c>
      <c r="O227" s="9">
        <f>IF('Model inputs'!O145="","",'Model inputs'!O145)</f>
        <v>0</v>
      </c>
      <c r="P227" s="9">
        <f>IF('Model inputs'!P145="","",'Model inputs'!P145)</f>
        <v>0</v>
      </c>
      <c r="Q227" s="9">
        <f>IF('Model inputs'!Q145="","",'Model inputs'!Q145)</f>
        <v>0</v>
      </c>
      <c r="R227" s="9">
        <f>IF('Model inputs'!R145="","",'Model inputs'!R145)</f>
        <v>0</v>
      </c>
      <c r="S227" s="9">
        <f>IF('Model inputs'!S145="","",'Model inputs'!S145)</f>
        <v>0</v>
      </c>
      <c r="T227" s="9">
        <f>IF('Model inputs'!T145="","",'Model inputs'!T145)</f>
        <v>0</v>
      </c>
      <c r="U227" s="9">
        <f>IF('Model inputs'!U145="","",'Model inputs'!U145)</f>
        <v>0</v>
      </c>
      <c r="V227" s="9">
        <f>IF('Model inputs'!V145="","",'Model inputs'!V145)</f>
        <v>0</v>
      </c>
      <c r="W227" s="9">
        <f>IF('Model inputs'!W145="","",'Model inputs'!W145)</f>
        <v>0</v>
      </c>
      <c r="X227" s="9">
        <f>IF('Model inputs'!X145="","",'Model inputs'!X145)</f>
        <v>0</v>
      </c>
      <c r="Y227" s="9">
        <f>IF('Model inputs'!Y145="","",'Model inputs'!Y145)</f>
        <v>0</v>
      </c>
      <c r="Z227" s="9">
        <f>IF('Model inputs'!Z145="","",'Model inputs'!Z145)</f>
        <v>0</v>
      </c>
      <c r="AA227" s="9">
        <f>IF('Model inputs'!AA145="","",'Model inputs'!AA145)</f>
        <v>0</v>
      </c>
      <c r="AB227" s="9">
        <f>IF('Model inputs'!AB145="","",'Model inputs'!AB145)</f>
        <v>0</v>
      </c>
      <c r="AC227" s="9">
        <f>IF('Model inputs'!AC145="","",'Model inputs'!AC145)</f>
        <v>0</v>
      </c>
    </row>
    <row r="228" outlineLevel="1">
      <c r="A228" t="inlineStr" s="21">
        <is>
          <t xml:space="preserve">NW Churned customers &gt; Starter</t>
        </is>
      </c>
      <c r="C228" s="9">
        <f>0</f>
        <v>0</v>
      </c>
      <c r="D228" s="9">
        <f>0</f>
        <v>0</v>
      </c>
      <c r="E228" s="9">
        <f>0</f>
        <v>0</v>
      </c>
      <c r="F228" s="9">
        <f>0</f>
        <v>0</v>
      </c>
      <c r="G228" s="9">
        <f>0</f>
        <v>0</v>
      </c>
      <c r="H228" s="9">
        <f>0</f>
        <v>0</v>
      </c>
      <c r="I228" s="9">
        <f>0</f>
        <v>0</v>
      </c>
      <c r="J228" s="9">
        <f>0</f>
        <v>0</v>
      </c>
      <c r="K228" s="9">
        <f>0</f>
        <v>0</v>
      </c>
      <c r="L228" s="9">
        <f>IF('Model inputs'!L146="","",'Model inputs'!L146)</f>
        <v>0</v>
      </c>
      <c r="M228" s="9">
        <f>IF('Model inputs'!M146="","",'Model inputs'!M146)</f>
        <v>0.88</v>
      </c>
      <c r="N228" s="9">
        <f>IF('Model inputs'!N146="","",'Model inputs'!N146)</f>
        <v>1.7247999999999999</v>
      </c>
      <c r="O228" s="9">
        <f>IF('Model inputs'!O146="","",'Model inputs'!O146)</f>
        <v>2.5358080000000003</v>
      </c>
      <c r="P228" s="9">
        <f>IF('Model inputs'!P146="","",'Model inputs'!P146)</f>
        <v>3.31437568</v>
      </c>
      <c r="Q228" s="9">
        <f>IF('Model inputs'!Q146="","",'Model inputs'!Q146)</f>
        <v>4.061800652800001</v>
      </c>
      <c r="R228" s="9">
        <f>IF('Model inputs'!R146="","",'Model inputs'!R146)</f>
        <v>4.779328626688</v>
      </c>
      <c r="S228" s="9">
        <f>IF('Model inputs'!S146="","",'Model inputs'!S146)</f>
        <v>5.46815548162048</v>
      </c>
      <c r="T228" s="9">
        <f>IF('Model inputs'!T146="","",'Model inputs'!T146)</f>
        <v>6.129429262355662</v>
      </c>
      <c r="U228" s="9">
        <f>IF('Model inputs'!U146="","",'Model inputs'!U146)</f>
        <v>6.764252091861435</v>
      </c>
      <c r="V228" s="9">
        <f>IF('Model inputs'!V146="","",'Model inputs'!V146)</f>
        <v>7.373682008186977</v>
      </c>
      <c r="W228" s="9">
        <f>IF('Model inputs'!W146="","",'Model inputs'!W146)</f>
        <v>7.958734727859498</v>
      </c>
      <c r="X228" s="9">
        <f>IF('Model inputs'!X146="","",'Model inputs'!X146)</f>
        <v>8.520385338745116</v>
      </c>
      <c r="Y228" s="9">
        <f>IF('Model inputs'!Y146="","",'Model inputs'!Y146)</f>
        <v>9.059569925195312</v>
      </c>
      <c r="Z228" s="9">
        <f>IF('Model inputs'!Z146="","",'Model inputs'!Z146)</f>
        <v>9.5771871281875</v>
      </c>
      <c r="AA228" s="9">
        <f>IF('Model inputs'!AA146="","",'Model inputs'!AA146)</f>
        <v>10.07409964306</v>
      </c>
      <c r="AB228" s="9">
        <f>IF('Model inputs'!AB146="","",'Model inputs'!AB146)</f>
        <v>10.5511356573376</v>
      </c>
      <c r="AC228" s="9">
        <f>IF('Model inputs'!AC146="","",'Model inputs'!AC146)</f>
        <v>11.009090231044095</v>
      </c>
    </row>
    <row r="229" outlineLevel="1">
      <c r="A229" t="inlineStr" s="21">
        <is>
          <t xml:space="preserve">NW Churned customers &gt; Team</t>
        </is>
      </c>
      <c r="C229" s="9">
        <f>0</f>
        <v>0</v>
      </c>
      <c r="D229" s="9">
        <f>0</f>
        <v>0</v>
      </c>
      <c r="E229" s="9">
        <f>0</f>
        <v>0</v>
      </c>
      <c r="F229" s="9">
        <f>0</f>
        <v>0</v>
      </c>
      <c r="G229" s="9">
        <f>0</f>
        <v>0</v>
      </c>
      <c r="H229" s="9">
        <f>0</f>
        <v>0</v>
      </c>
      <c r="I229" s="9">
        <f>0</f>
        <v>0</v>
      </c>
      <c r="J229" s="9">
        <f>0</f>
        <v>0</v>
      </c>
      <c r="K229" s="9">
        <f>0</f>
        <v>0</v>
      </c>
      <c r="L229" s="9">
        <f>IF('Model inputs'!L147="","",'Model inputs'!L147)</f>
        <v>0</v>
      </c>
      <c r="M229" s="9">
        <f>IF('Model inputs'!M147="","",'Model inputs'!M147)</f>
        <v>0.56</v>
      </c>
      <c r="N229" s="9">
        <f>IF('Model inputs'!N147="","",'Model inputs'!N147)</f>
        <v>1.0976000000000001</v>
      </c>
      <c r="O229" s="9">
        <f>IF('Model inputs'!O147="","",'Model inputs'!O147)</f>
        <v>1.613696</v>
      </c>
      <c r="P229" s="9">
        <f>IF('Model inputs'!P147="","",'Model inputs'!P147)</f>
        <v>2.10914816</v>
      </c>
      <c r="Q229" s="9">
        <f>IF('Model inputs'!Q147="","",'Model inputs'!Q147)</f>
        <v>2.5847822335999995</v>
      </c>
      <c r="R229" s="9">
        <f>IF('Model inputs'!R147="","",'Model inputs'!R147)</f>
        <v>3.041390944256</v>
      </c>
      <c r="S229" s="9">
        <f>IF('Model inputs'!S147="","",'Model inputs'!S147)</f>
        <v>3.47973530648576</v>
      </c>
      <c r="T229" s="9">
        <f>IF('Model inputs'!T147="","",'Model inputs'!T147)</f>
        <v>3.9005458942263296</v>
      </c>
      <c r="U229" s="9">
        <f>IF('Model inputs'!U147="","",'Model inputs'!U147)</f>
        <v>4.304524058457276</v>
      </c>
      <c r="V229" s="9">
        <f>IF('Model inputs'!V147="","",'Model inputs'!V147)</f>
        <v>4.692343096118986</v>
      </c>
      <c r="W229" s="9">
        <f>IF('Model inputs'!W147="","",'Model inputs'!W147)</f>
        <v>5.064649372274226</v>
      </c>
      <c r="X229" s="9">
        <f>IF('Model inputs'!X147="","",'Model inputs'!X147)</f>
        <v>5.422063397383256</v>
      </c>
      <c r="Y229" s="9">
        <f>IF('Model inputs'!Y147="","",'Model inputs'!Y147)</f>
        <v>5.765180861487926</v>
      </c>
      <c r="Z229" s="9">
        <f>IF('Model inputs'!Z147="","",'Model inputs'!Z147)</f>
        <v>6.094573627028409</v>
      </c>
      <c r="AA229" s="9">
        <f>IF('Model inputs'!AA147="","",'Model inputs'!AA147)</f>
        <v>6.410790681947272</v>
      </c>
      <c r="AB229" s="9">
        <f>IF('Model inputs'!AB147="","",'Model inputs'!AB147)</f>
        <v>6.714359054669382</v>
      </c>
      <c r="AC229" s="9">
        <f>IF('Model inputs'!AC147="","",'Model inputs'!AC147)</f>
        <v>7.005784692482607</v>
      </c>
    </row>
    <row r="230">
      <c r="A230" t="inlineStr" s="20">
        <is>
          <t xml:space="preserve">NW BYOK-test share</t>
        </is>
      </c>
      <c r="B230" s="15">
        <v>0</v>
      </c>
    </row>
    <row r="231" outlineLevel="1">
      <c r="A231" t="inlineStr" s="21">
        <is>
          <t xml:space="preserve">NW BYOK-test share &gt; Business</t>
        </is>
      </c>
      <c r="B231" s="14">
        <f>IF(OR("Business"="Team","Business"="Business"),IF('Model inputs'!B244="","",'Model inputs'!B244),IF('Model inputs'!B150="","",'Model inputs'!B150))</f>
        <v>0.5</v>
      </c>
    </row>
    <row r="232" outlineLevel="1">
      <c r="A232" t="inlineStr" s="21">
        <is>
          <t xml:space="preserve">NW BYOK-test share &gt; Community</t>
        </is>
      </c>
      <c r="B232" s="14">
        <f>IF(OR("Community"="Team","Community"="Business"),IF('Model inputs'!B244="","",'Model inputs'!B244),IF('Model inputs'!B151="","",'Model inputs'!B151))</f>
        <v>1</v>
      </c>
    </row>
    <row r="233" outlineLevel="1">
      <c r="A233" t="inlineStr" s="21">
        <is>
          <t xml:space="preserve">NW BYOK-test share &gt; Starter</t>
        </is>
      </c>
      <c r="B233" s="14">
        <f>IF(OR("Starter"="Team","Starter"="Business"),IF('Model inputs'!B244="","",'Model inputs'!B244),IF('Model inputs'!B152="","",'Model inputs'!B152))</f>
        <v>1</v>
      </c>
    </row>
    <row r="234" outlineLevel="1">
      <c r="A234" t="inlineStr" s="21">
        <is>
          <t xml:space="preserve">NW BYOK-test share &gt; Team</t>
        </is>
      </c>
      <c r="B234" s="14">
        <f>IF(OR("Team"="Team","Team"="Business"),IF('Model inputs'!B244="","",'Model inputs'!B244),IF('Model inputs'!B153="","",'Model inputs'!B153))</f>
        <v>0.5</v>
      </c>
    </row>
    <row r="235">
      <c r="A235" t="inlineStr" s="20">
        <is>
          <t xml:space="preserve">NW Higher Team price · NW Higher-price blended gross profit · Low-price monthly forecast</t>
        </is>
      </c>
      <c r="B235" s="11">
        <f>19</f>
        <v>19</v>
      </c>
    </row>
    <row r="236">
      <c r="A236" t="inlineStr" s="20">
        <is>
          <t xml:space="preserve">NW Hosting per environment · NW Blended gross profit</t>
        </is>
      </c>
      <c r="B236" s="11">
        <f>0.8</f>
        <v>0.8</v>
      </c>
    </row>
    <row r="237">
      <c r="A237" t="inlineStr" s="20">
        <is>
          <t xml:space="preserve">NW Included incidents per customer</t>
        </is>
      </c>
      <c r="B237" s="7">
        <f>'Model inputs'!B167*'Model inputs'!B245</f>
        <v>0</v>
      </c>
    </row>
    <row r="238" outlineLevel="1">
      <c r="A238" t="inlineStr" s="21">
        <is>
          <t xml:space="preserve">NW Included incidents per customer &gt; Business</t>
        </is>
      </c>
      <c r="B238" s="9">
        <f>'Model inputs'!B168*'Model inputs'!B246</f>
        <v>400</v>
      </c>
    </row>
    <row r="239" outlineLevel="1">
      <c r="A239" t="inlineStr" s="21">
        <is>
          <t xml:space="preserve">NW Included incidents per customer &gt; Community</t>
        </is>
      </c>
      <c r="B239" s="9">
        <f>'Model inputs'!B169*'Model inputs'!B247</f>
        <v>0</v>
      </c>
    </row>
    <row r="240" outlineLevel="1">
      <c r="A240" t="inlineStr" s="21">
        <is>
          <t xml:space="preserve">NW Included incidents per customer &gt; Starter</t>
        </is>
      </c>
      <c r="B240" s="9">
        <f>'Model inputs'!B170*'Model inputs'!B248</f>
        <v>0</v>
      </c>
    </row>
    <row r="241" outlineLevel="1">
      <c r="A241" t="inlineStr" s="21">
        <is>
          <t xml:space="preserve">NW Included incidents per customer &gt; Team</t>
        </is>
      </c>
      <c r="B241" s="9">
        <f>'Model inputs'!B171*'Model inputs'!B249</f>
        <v>100</v>
      </c>
    </row>
    <row r="242">
      <c r="A242" t="inlineStr" s="20">
        <is>
          <t xml:space="preserve">NW Knowledge base per environment · NW Blended gross profit</t>
        </is>
      </c>
      <c r="B242" s="11">
        <f>0.4</f>
        <v>0.4</v>
      </c>
    </row>
    <row r="243">
      <c r="A243" t="inlineStr" s="20">
        <is>
          <t xml:space="preserve">NW Observability per environment · NW Blended gross profit</t>
        </is>
      </c>
      <c r="B243" s="11">
        <f>0.2</f>
        <v>0.2</v>
      </c>
    </row>
    <row r="244">
      <c r="A244" t="inlineStr" s="20">
        <is>
          <t xml:space="preserve">NW BYOK test share · NW BYOK-test blended gross profit · Low-price monthly forecast</t>
        </is>
      </c>
      <c r="B244" s="23">
        <f>0.5</f>
        <v>0.5</v>
      </c>
    </row>
    <row r="245">
      <c r="A245" t="inlineStr" s="20">
        <is>
          <t xml:space="preserve">NW Included incidents per environment</t>
        </is>
      </c>
      <c r="B245" s="7">
        <v>0</v>
      </c>
    </row>
    <row r="246" outlineLevel="1">
      <c r="A246" t="inlineStr" s="21">
        <is>
          <t xml:space="preserve">NW Included incidents per environment &gt; Business</t>
        </is>
      </c>
      <c r="B246" s="9">
        <f>100</f>
        <v>100</v>
      </c>
    </row>
    <row r="247" outlineLevel="1">
      <c r="A247" t="inlineStr" s="21">
        <is>
          <t xml:space="preserve">NW Included incidents per environment &gt; Community</t>
        </is>
      </c>
      <c r="B247" s="9">
        <f>0</f>
        <v>0</v>
      </c>
    </row>
    <row r="248" outlineLevel="1">
      <c r="A248" t="inlineStr" s="21">
        <is>
          <t xml:space="preserve">NW Included incidents per environment &gt; Starter</t>
        </is>
      </c>
      <c r="B248" s="9">
        <f>0</f>
        <v>0</v>
      </c>
    </row>
    <row r="249" outlineLevel="1">
      <c r="A249" t="inlineStr" s="21">
        <is>
          <t xml:space="preserve">NW Included incidents per environment &gt; Team</t>
        </is>
      </c>
      <c r="B249" s="9">
        <f>50</f>
        <v>50</v>
      </c>
    </row>
    <row r="251">
      <c r="A251" t="inlineStr" s="19">
        <is>
          <t xml:space="preserve">Dimensions</t>
        </is>
      </c>
    </row>
    <row r="252">
      <c r="A252" t="inlineStr" s="20">
        <is>
          <t xml:space="preserve">NightWatch Plan</t>
        </is>
      </c>
      <c r="B252" t="inlineStr" s="24">
        <is>
          <t xml:space="preserve">Business</t>
        </is>
      </c>
      <c r="C252" t="inlineStr" s="24">
        <is>
          <t xml:space="preserve">Community</t>
        </is>
      </c>
      <c r="D252" t="inlineStr" s="24">
        <is>
          <t xml:space="preserve">Starter</t>
        </is>
      </c>
      <c r="E252" t="inlineStr" s="24">
        <is>
          <t xml:space="preserve">Team</t>
        </is>
      </c>
    </row>
  </sheetData>
  <mergeCells count="2">
    <mergeCell ref="A1:AC1"/>
    <mergeCell ref="A2:AC2"/>
  </mergeCells>
</worksheet>
</file>

<file path=xl/worksheets/sheet5.xml><?xml version="1.0" encoding="utf-8"?>
<worksheet xmlns="http://schemas.openxmlformats.org/spreadsheetml/2006/main">
  <dimension ref="A1:F6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24">
        <is>
          <t xml:space="preserve">Model inputs</t>
        </is>
      </c>
      <c r="B5" t="inlineStr" s="24">
        <is>
          <t xml:space="preserve">B183</t>
        </is>
      </c>
      <c r="C5" t="inlineStr" s="24">
        <is>
          <t xml:space="preserve">NW Higher-price revenue per customer</t>
        </is>
      </c>
      <c r="D5" t="inlineStr" s="24">
        <is>
          <t xml:space="preserve"/>
        </is>
      </c>
      <c r="E5" t="inlineStr" s="24">
        <is>
          <t xml:space="preserve">Base</t>
        </is>
      </c>
      <c r="F5" t="inlineStr" s="24">
        <is>
          <t xml:space="preserve">It reads NightWatch Plan, which this workbook does not contain.</t>
        </is>
      </c>
    </row>
    <row r="6">
      <c r="A6" t="inlineStr" s="24">
        <is>
          <t xml:space="preserve">Model inputs</t>
        </is>
      </c>
      <c r="B6" t="inlineStr" s="24">
        <is>
          <t xml:space="preserve">B230</t>
        </is>
      </c>
      <c r="C6" t="inlineStr" s="24">
        <is>
          <t xml:space="preserve">NW BYOK-test share</t>
        </is>
      </c>
      <c r="D6" t="inlineStr" s="24">
        <is>
          <t xml:space="preserve"/>
        </is>
      </c>
      <c r="E6" t="inlineStr" s="24">
        <is>
          <t xml:space="preserve">Base</t>
        </is>
      </c>
      <c r="F6" t="inlineStr" s="24">
        <is>
          <t xml:space="preserve">It reads NightWatch Plan, which this workbook does not contain.</t>
        </is>
      </c>
    </row>
  </sheetData>
  <mergeCells count="2">
    <mergeCell ref="A1:F1"/>
    <mergeCell ref="A2:F2"/>
  </mergeCells>
</worksheet>
</file>